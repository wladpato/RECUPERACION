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ladp\Desktop\"/>
    </mc:Choice>
  </mc:AlternateContent>
  <xr:revisionPtr revIDLastSave="0" documentId="13_ncr:1_{2DC907F1-43A5-41A2-A10C-70AFFF489AA1}" xr6:coauthVersionLast="47" xr6:coauthVersionMax="47" xr10:uidLastSave="{00000000-0000-0000-0000-000000000000}"/>
  <bookViews>
    <workbookView xWindow="-110" yWindow="-110" windowWidth="19420" windowHeight="12420" xr2:uid="{00000000-000D-0000-FFFF-FFFF00000000}"/>
  </bookViews>
  <sheets>
    <sheet name="Reg_EOR_Parámetros" sheetId="4" r:id="rId1"/>
    <sheet name="Tabla_Puntaje" sheetId="1" r:id="rId2"/>
    <sheet name="RESUMEN" sheetId="13" r:id="rId3"/>
    <sheet name="Ui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3" l="1"/>
  <c r="C5" i="13"/>
  <c r="K213" i="1"/>
  <c r="C208" i="1"/>
  <c r="J213" i="1"/>
  <c r="C207" i="1"/>
  <c r="I213" i="1"/>
  <c r="C206" i="1"/>
  <c r="H213" i="1"/>
  <c r="C205" i="1"/>
  <c r="G213" i="1"/>
  <c r="C204" i="1"/>
  <c r="F213" i="1"/>
  <c r="C203" i="1"/>
  <c r="E213" i="1"/>
  <c r="C202" i="1"/>
  <c r="D213" i="1"/>
  <c r="C201" i="1"/>
  <c r="C213" i="1"/>
  <c r="C200" i="1"/>
  <c r="D198" i="1" l="1"/>
  <c r="T63" i="6" l="1"/>
  <c r="T58" i="6"/>
  <c r="T59" i="6"/>
  <c r="T60" i="6"/>
  <c r="T62" i="6"/>
  <c r="T61" i="6"/>
  <c r="T55" i="6"/>
  <c r="T56" i="6"/>
  <c r="T57" i="6"/>
  <c r="D199" i="1" l="1"/>
  <c r="E5" i="13" l="1"/>
  <c r="D200" i="1"/>
  <c r="V55" i="6"/>
  <c r="U55" i="6" l="1"/>
  <c r="W55" i="6" s="1"/>
  <c r="G5" i="13" l="1"/>
  <c r="X55" i="6"/>
  <c r="Y55" i="6" s="1"/>
  <c r="Z55" i="6" s="1"/>
  <c r="V62" i="6"/>
  <c r="D202" i="1" l="1"/>
  <c r="F5" i="13"/>
  <c r="D201" i="1"/>
  <c r="U62" i="6"/>
  <c r="W62" i="6" s="1"/>
  <c r="H5" i="13"/>
  <c r="D203" i="1"/>
  <c r="V59" i="6"/>
  <c r="U59" i="6"/>
  <c r="V60" i="6"/>
  <c r="U60" i="6"/>
  <c r="X62" i="6" l="1"/>
  <c r="Y62" i="6" s="1"/>
  <c r="Z62" i="6" s="1"/>
  <c r="I5" i="13"/>
  <c r="D204" i="1"/>
  <c r="W60" i="6"/>
  <c r="V61" i="6"/>
  <c r="X60" i="6"/>
  <c r="Y60" i="6" s="1"/>
  <c r="Z60" i="6" s="1"/>
  <c r="U61" i="6"/>
  <c r="X59" i="6"/>
  <c r="Y59" i="6" s="1"/>
  <c r="Z59" i="6" s="1"/>
  <c r="W59" i="6"/>
  <c r="J5" i="13" l="1"/>
  <c r="D205" i="1"/>
  <c r="W61" i="6"/>
  <c r="V56" i="6"/>
  <c r="X61" i="6"/>
  <c r="Y61" i="6" s="1"/>
  <c r="Z61" i="6" s="1"/>
  <c r="U56" i="6"/>
  <c r="K5" i="13" l="1"/>
  <c r="D206" i="1"/>
  <c r="M5" i="13"/>
  <c r="D208" i="1"/>
  <c r="W56" i="6"/>
  <c r="V63" i="6"/>
  <c r="U57" i="6"/>
  <c r="X56" i="6"/>
  <c r="Y56" i="6" s="1"/>
  <c r="Z56" i="6" s="1"/>
  <c r="V57" i="6"/>
  <c r="L5" i="13" l="1"/>
  <c r="D207" i="1"/>
  <c r="V58" i="6"/>
  <c r="W57" i="6"/>
  <c r="U58" i="6"/>
  <c r="X57" i="6"/>
  <c r="Y57" i="6" s="1"/>
  <c r="Z57" i="6" s="1"/>
  <c r="U63" i="6"/>
  <c r="W58" i="6" l="1"/>
  <c r="X58" i="6"/>
  <c r="Y58" i="6" s="1"/>
  <c r="Z58" i="6" s="1"/>
  <c r="X63" i="6"/>
  <c r="Y63" i="6" s="1"/>
  <c r="Z63" i="6" s="1"/>
  <c r="W63" i="6"/>
</calcChain>
</file>

<file path=xl/sharedStrings.xml><?xml version="1.0" encoding="utf-8"?>
<sst xmlns="http://schemas.openxmlformats.org/spreadsheetml/2006/main" count="179" uniqueCount="78">
  <si>
    <t>Criterio</t>
  </si>
  <si>
    <t>Metodo EOR</t>
  </si>
  <si>
    <t>Fluido</t>
  </si>
  <si>
    <t>Composicion</t>
  </si>
  <si>
    <t>Yacimiento</t>
  </si>
  <si>
    <t>Espesor neto</t>
  </si>
  <si>
    <t>Profundidad</t>
  </si>
  <si>
    <t>Gravedad (°API)</t>
  </si>
  <si>
    <t>Viscosidad (cP)</t>
  </si>
  <si>
    <t>puntaje</t>
  </si>
  <si>
    <t>Perm. Prom. (mD)</t>
  </si>
  <si>
    <t>Sat. del petroleo (%VP)</t>
  </si>
  <si>
    <t>CO2</t>
  </si>
  <si>
    <t>HC (Gas enriquezido)</t>
  </si>
  <si>
    <t>Métodos químicos</t>
  </si>
  <si>
    <t>Métodos miscibles</t>
  </si>
  <si>
    <t>Temperatura (°F)</t>
  </si>
  <si>
    <t>Polímero</t>
  </si>
  <si>
    <t>Métodos térmicos</t>
  </si>
  <si>
    <t>Combustión</t>
  </si>
  <si>
    <t>Espesor neto (pies)</t>
  </si>
  <si>
    <t>Tipo de formacion</t>
  </si>
  <si>
    <r>
      <t xml:space="preserve">Composicion molar </t>
    </r>
    <r>
      <rPr>
        <i/>
        <sz val="8"/>
        <rFont val="Arial"/>
        <family val="2"/>
      </rPr>
      <t>(%)</t>
    </r>
  </si>
  <si>
    <t>Parámetros claves</t>
  </si>
  <si>
    <t>x</t>
  </si>
  <si>
    <r>
      <t>C</t>
    </r>
    <r>
      <rPr>
        <i/>
        <vertAlign val="subscript"/>
        <sz val="8"/>
        <rFont val="Arial"/>
        <family val="2"/>
      </rPr>
      <t>1</t>
    </r>
    <r>
      <rPr>
        <i/>
        <sz val="8"/>
        <rFont val="Arial"/>
        <family val="2"/>
      </rPr>
      <t xml:space="preserve"> - C</t>
    </r>
    <r>
      <rPr>
        <i/>
        <vertAlign val="subscript"/>
        <sz val="8"/>
        <rFont val="Arial"/>
        <family val="2"/>
      </rPr>
      <t>7</t>
    </r>
  </si>
  <si>
    <r>
      <t>C</t>
    </r>
    <r>
      <rPr>
        <i/>
        <vertAlign val="subscript"/>
        <sz val="8"/>
        <rFont val="Arial"/>
        <family val="2"/>
      </rPr>
      <t>2</t>
    </r>
    <r>
      <rPr>
        <i/>
        <sz val="8"/>
        <rFont val="Arial"/>
        <family val="2"/>
      </rPr>
      <t xml:space="preserve"> - C</t>
    </r>
    <r>
      <rPr>
        <i/>
        <vertAlign val="subscript"/>
        <sz val="8"/>
        <rFont val="Arial"/>
        <family val="2"/>
      </rPr>
      <t>7</t>
    </r>
  </si>
  <si>
    <r>
      <t>C</t>
    </r>
    <r>
      <rPr>
        <i/>
        <vertAlign val="subscript"/>
        <sz val="8"/>
        <rFont val="Arial"/>
        <family val="2"/>
      </rPr>
      <t>5</t>
    </r>
    <r>
      <rPr>
        <i/>
        <sz val="8"/>
        <rFont val="Arial"/>
        <family val="2"/>
      </rPr>
      <t xml:space="preserve"> - C</t>
    </r>
    <r>
      <rPr>
        <i/>
        <vertAlign val="subscript"/>
        <sz val="8"/>
        <rFont val="Arial"/>
        <family val="2"/>
      </rPr>
      <t>12</t>
    </r>
  </si>
  <si>
    <t>1) valores tomados de la prueba del separador</t>
  </si>
  <si>
    <r>
      <t xml:space="preserve">Gravedad </t>
    </r>
    <r>
      <rPr>
        <i/>
        <sz val="8"/>
        <rFont val="Arial"/>
        <family val="2"/>
      </rPr>
      <t xml:space="preserve">(°API) </t>
    </r>
    <r>
      <rPr>
        <i/>
        <vertAlign val="superscript"/>
        <sz val="8"/>
        <rFont val="Arial"/>
        <family val="2"/>
      </rPr>
      <t>1</t>
    </r>
  </si>
  <si>
    <r>
      <t xml:space="preserve">Viscosidad </t>
    </r>
    <r>
      <rPr>
        <i/>
        <sz val="8"/>
        <rFont val="Arial"/>
        <family val="2"/>
      </rPr>
      <t xml:space="preserve">(cp) </t>
    </r>
    <r>
      <rPr>
        <i/>
        <vertAlign val="superscript"/>
        <sz val="8"/>
        <rFont val="Arial"/>
        <family val="2"/>
      </rPr>
      <t>2</t>
    </r>
  </si>
  <si>
    <r>
      <t>2) corregida de T</t>
    </r>
    <r>
      <rPr>
        <i/>
        <vertAlign val="subscript"/>
        <sz val="8"/>
        <rFont val="Arial"/>
        <family val="2"/>
      </rPr>
      <t>lab</t>
    </r>
    <r>
      <rPr>
        <i/>
        <sz val="8"/>
        <rFont val="Arial"/>
        <family val="2"/>
      </rPr>
      <t xml:space="preserve"> a T</t>
    </r>
    <r>
      <rPr>
        <i/>
        <vertAlign val="subscript"/>
        <sz val="8"/>
        <rFont val="Arial"/>
        <family val="2"/>
      </rPr>
      <t>yac</t>
    </r>
  </si>
  <si>
    <t>4) valores tomados del cuadro POES oficial entregado por PAM</t>
  </si>
  <si>
    <r>
      <t xml:space="preserve">VP </t>
    </r>
    <r>
      <rPr>
        <i/>
        <sz val="8"/>
        <rFont val="Arial"/>
        <family val="2"/>
      </rPr>
      <t xml:space="preserve">(MBY) </t>
    </r>
    <r>
      <rPr>
        <i/>
        <vertAlign val="superscript"/>
        <sz val="8"/>
        <rFont val="Arial"/>
        <family val="2"/>
      </rPr>
      <t>4</t>
    </r>
  </si>
  <si>
    <r>
      <t>B</t>
    </r>
    <r>
      <rPr>
        <b/>
        <vertAlign val="subscript"/>
        <sz val="8"/>
        <rFont val="Arial"/>
        <family val="2"/>
      </rPr>
      <t>o</t>
    </r>
    <r>
      <rPr>
        <b/>
        <sz val="8"/>
        <rFont val="Arial"/>
        <family val="2"/>
      </rPr>
      <t xml:space="preserve"> </t>
    </r>
    <r>
      <rPr>
        <i/>
        <sz val="8"/>
        <rFont val="Arial"/>
        <family val="2"/>
      </rPr>
      <t xml:space="preserve">(BY/BN) </t>
    </r>
    <r>
      <rPr>
        <i/>
        <vertAlign val="superscript"/>
        <sz val="8"/>
        <rFont val="Arial"/>
        <family val="2"/>
      </rPr>
      <t>4</t>
    </r>
  </si>
  <si>
    <r>
      <t xml:space="preserve">Espesor neto </t>
    </r>
    <r>
      <rPr>
        <i/>
        <sz val="8"/>
        <rFont val="Arial"/>
        <family val="2"/>
      </rPr>
      <t xml:space="preserve">(pies) </t>
    </r>
    <r>
      <rPr>
        <i/>
        <vertAlign val="superscript"/>
        <sz val="8"/>
        <rFont val="Arial"/>
        <family val="2"/>
      </rPr>
      <t>4</t>
    </r>
  </si>
  <si>
    <r>
      <t>N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/ flue gas</t>
    </r>
  </si>
  <si>
    <r>
      <t xml:space="preserve">Porosidad </t>
    </r>
    <r>
      <rPr>
        <i/>
        <sz val="8"/>
        <rFont val="Arial"/>
        <family val="2"/>
      </rPr>
      <t xml:space="preserve">(%) </t>
    </r>
    <r>
      <rPr>
        <i/>
        <vertAlign val="superscript"/>
        <sz val="8"/>
        <rFont val="Arial"/>
        <family val="2"/>
      </rPr>
      <t>4</t>
    </r>
  </si>
  <si>
    <t>POES (MMBN)</t>
  </si>
  <si>
    <t>Otros Métodos</t>
  </si>
  <si>
    <t>Diferencial de Salinidad</t>
  </si>
  <si>
    <t>Salinidad del agua de form</t>
  </si>
  <si>
    <t>Salinidad del agua inyectada</t>
  </si>
  <si>
    <t>Contenido de Arcilla %</t>
  </si>
  <si>
    <t>Presencia de Caolinita</t>
  </si>
  <si>
    <t>Iones Divalentes mg/l</t>
  </si>
  <si>
    <t>Mojabilidad</t>
  </si>
  <si>
    <t>Salinidad</t>
  </si>
  <si>
    <t>Presencia Iones divalentes Ca, Mg</t>
  </si>
  <si>
    <t>Presencia de comp Polares</t>
  </si>
  <si>
    <t>SI</t>
  </si>
  <si>
    <t>Inyección de Agua de Baja Salinidad</t>
  </si>
  <si>
    <t>Inyección Vapor</t>
  </si>
  <si>
    <t>Surfactante/Polímero/Alcalino</t>
  </si>
  <si>
    <t>Por Acción Microbiana (MEOR)</t>
  </si>
  <si>
    <t xml:space="preserve">3) Mojabilidad (0) Fuertemente mojada al petróleo (1) Fuertemente mojada al agua en base a la interseccion de las curvas de Kr </t>
  </si>
  <si>
    <r>
      <t xml:space="preserve">Mojabilidad 0-1 </t>
    </r>
    <r>
      <rPr>
        <i/>
        <vertAlign val="superscript"/>
        <sz val="8"/>
        <rFont val="Arial"/>
        <family val="2"/>
      </rPr>
      <t>3</t>
    </r>
  </si>
  <si>
    <r>
      <t>N</t>
    </r>
    <r>
      <rPr>
        <b/>
        <vertAlign val="subscript"/>
        <sz val="8"/>
        <rFont val="Arial"/>
        <family val="2"/>
      </rPr>
      <t>p</t>
    </r>
    <r>
      <rPr>
        <b/>
        <sz val="8"/>
        <rFont val="Arial"/>
        <family val="2"/>
      </rPr>
      <t xml:space="preserve"> </t>
    </r>
    <r>
      <rPr>
        <i/>
        <sz val="8"/>
        <rFont val="Arial"/>
        <family val="2"/>
      </rPr>
      <t xml:space="preserve">(MBN) </t>
    </r>
    <r>
      <rPr>
        <i/>
        <vertAlign val="superscript"/>
        <sz val="8"/>
        <rFont val="Arial"/>
        <family val="2"/>
      </rPr>
      <t>5</t>
    </r>
  </si>
  <si>
    <r>
      <t xml:space="preserve">Sat. del petroleo </t>
    </r>
    <r>
      <rPr>
        <i/>
        <sz val="8"/>
        <rFont val="Arial"/>
        <family val="2"/>
      </rPr>
      <t xml:space="preserve">(%VP) </t>
    </r>
    <r>
      <rPr>
        <i/>
        <vertAlign val="superscript"/>
        <sz val="8"/>
        <rFont val="Arial"/>
        <family val="2"/>
      </rPr>
      <t>6</t>
    </r>
  </si>
  <si>
    <r>
      <t>6) Saturación del petróleo actual (%) = 100*(POES - N</t>
    </r>
    <r>
      <rPr>
        <i/>
        <vertAlign val="subscript"/>
        <sz val="8"/>
        <rFont val="Arial"/>
        <family val="2"/>
      </rPr>
      <t>p</t>
    </r>
    <r>
      <rPr>
        <i/>
        <sz val="8"/>
        <rFont val="Arial"/>
        <family val="2"/>
      </rPr>
      <t>)*B</t>
    </r>
    <r>
      <rPr>
        <i/>
        <vertAlign val="subscript"/>
        <sz val="8"/>
        <rFont val="Arial"/>
        <family val="2"/>
      </rPr>
      <t>o</t>
    </r>
    <r>
      <rPr>
        <i/>
        <sz val="8"/>
        <rFont val="Arial"/>
        <family val="2"/>
      </rPr>
      <t xml:space="preserve"> / VP; valores tomados del cuadro POES oficial entregado por PAM</t>
    </r>
  </si>
  <si>
    <r>
      <t xml:space="preserve">Permeabilidad abs. </t>
    </r>
    <r>
      <rPr>
        <i/>
        <sz val="8"/>
        <rFont val="Arial"/>
        <family val="2"/>
      </rPr>
      <t xml:space="preserve">(mD) </t>
    </r>
    <r>
      <rPr>
        <i/>
        <vertAlign val="superscript"/>
        <sz val="8"/>
        <rFont val="Arial"/>
        <family val="2"/>
      </rPr>
      <t>7</t>
    </r>
  </si>
  <si>
    <t>7) Permeabilidades tomadas de las PTA ("Pressure Transient Analysis")</t>
  </si>
  <si>
    <r>
      <t xml:space="preserve">Profundidad </t>
    </r>
    <r>
      <rPr>
        <i/>
        <sz val="8"/>
        <rFont val="Arial"/>
        <family val="2"/>
      </rPr>
      <t xml:space="preserve">(TVD - pies) </t>
    </r>
    <r>
      <rPr>
        <i/>
        <vertAlign val="superscript"/>
        <sz val="8"/>
        <rFont val="Arial"/>
        <family val="2"/>
      </rPr>
      <t>8</t>
    </r>
  </si>
  <si>
    <t>8) profundidad promedia en TVD de la mitad de la arena en los pozos productores de la región EOR respectiva</t>
  </si>
  <si>
    <t>9) Temperatura de yacimiento corregida de acuerdo al gradiente geotérmico</t>
  </si>
  <si>
    <r>
      <t xml:space="preserve">Temperatura </t>
    </r>
    <r>
      <rPr>
        <i/>
        <sz val="8"/>
        <rFont val="Arial"/>
        <family val="2"/>
      </rPr>
      <t xml:space="preserve">(°F) </t>
    </r>
    <r>
      <rPr>
        <i/>
        <vertAlign val="superscript"/>
        <sz val="8"/>
        <rFont val="Arial"/>
        <family val="2"/>
      </rPr>
      <t>9</t>
    </r>
  </si>
  <si>
    <t>5) Producción acumulada de petróleo a la fecha de 31-12-2017</t>
  </si>
  <si>
    <t>Disponibilidad CO2</t>
  </si>
  <si>
    <t>Arenisca (x)</t>
  </si>
  <si>
    <t>Carbonato (x)</t>
  </si>
  <si>
    <t>Disponibilidad de CO2 (x)</t>
  </si>
  <si>
    <t>Reservorio</t>
  </si>
  <si>
    <t>Campo</t>
  </si>
  <si>
    <t>Disponibilidad Agua de baja Sal (x)</t>
  </si>
  <si>
    <t>Disponibilidad Agua Baja  Salinidad</t>
  </si>
  <si>
    <t>Aguarico</t>
  </si>
  <si>
    <t>Uinf</t>
  </si>
  <si>
    <r>
      <t xml:space="preserve">POES </t>
    </r>
    <r>
      <rPr>
        <i/>
        <sz val="8"/>
        <rFont val="Arial"/>
        <family val="2"/>
      </rPr>
      <t xml:space="preserve">(MMBN) </t>
    </r>
    <r>
      <rPr>
        <i/>
        <vertAlign val="superscript"/>
        <sz val="8"/>
        <rFont val="Arial"/>
        <family val="2"/>
      </rPr>
      <t>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</si>
</sst>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&quot;$&quot;#,##0_);[Red]\(&quot;$&quot;#,##0\)"/>
    <numFmt numFmtId="165" formatCode="&quot;$&quot;#,##0.00_);[Red]\(&quot;$&quot;#,##0.00\)"/>
    <numFmt numFmtId="166" formatCode="0.0"/>
    <numFmt numFmtId="167" formatCode="0.000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b/>
      <sz val="8"/>
      <color indexed="58"/>
      <name val="Arial"/>
      <family val="2"/>
    </font>
    <font>
      <b/>
      <sz val="8"/>
      <color indexed="6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i/>
      <vertAlign val="subscript"/>
      <sz val="8"/>
      <name val="Arial"/>
      <family val="2"/>
    </font>
    <font>
      <i/>
      <vertAlign val="superscript"/>
      <sz val="8"/>
      <name val="Arial"/>
      <family val="2"/>
    </font>
    <font>
      <sz val="9"/>
      <name val="Arial"/>
      <family val="2"/>
    </font>
    <font>
      <sz val="10"/>
      <name val="MS Sans Serif"/>
      <family val="2"/>
    </font>
    <font>
      <u/>
      <sz val="10"/>
      <color indexed="12"/>
      <name val="Helvetica"/>
      <family val="2"/>
    </font>
    <font>
      <b/>
      <u/>
      <sz val="8"/>
      <color indexed="12"/>
      <name val="Helv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Swiss721 bt"/>
      <family val="2"/>
    </font>
    <font>
      <sz val="8"/>
      <color rgb="FFFF0000"/>
      <name val="Arial"/>
      <family val="2"/>
    </font>
    <font>
      <i/>
      <sz val="7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1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12"/>
      </bottom>
      <diagonal/>
    </border>
    <border>
      <left style="thin">
        <color indexed="64"/>
      </left>
      <right style="thin">
        <color indexed="12"/>
      </right>
      <top style="thin">
        <color indexed="64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64"/>
      </bottom>
      <diagonal/>
    </border>
    <border>
      <left/>
      <right style="thin">
        <color indexed="12"/>
      </right>
      <top style="thin">
        <color indexed="12"/>
      </top>
      <bottom style="thin">
        <color indexed="64"/>
      </bottom>
      <diagonal/>
    </border>
    <border>
      <left style="thin">
        <color indexed="1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2"/>
      </left>
      <right/>
      <top/>
      <bottom/>
      <diagonal/>
    </border>
    <border>
      <left style="thin">
        <color indexed="12"/>
      </left>
      <right style="thin">
        <color indexed="64"/>
      </right>
      <top style="thin">
        <color indexed="64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64"/>
      </bottom>
      <diagonal/>
    </border>
    <border>
      <left style="thin">
        <color indexed="12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12"/>
      </right>
      <top style="thin">
        <color indexed="64"/>
      </top>
      <bottom style="thin">
        <color indexed="64"/>
      </bottom>
      <diagonal/>
    </border>
    <border>
      <left/>
      <right style="thin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0">
    <xf numFmtId="0" fontId="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18" fillId="0" borderId="0"/>
    <xf numFmtId="0" fontId="18" fillId="0" borderId="0"/>
    <xf numFmtId="0" fontId="21" fillId="0" borderId="0"/>
    <xf numFmtId="0" fontId="18" fillId="0" borderId="0"/>
    <xf numFmtId="0" fontId="18" fillId="0" borderId="0"/>
    <xf numFmtId="0" fontId="21" fillId="0" borderId="0"/>
    <xf numFmtId="0" fontId="18" fillId="0" borderId="0"/>
    <xf numFmtId="0" fontId="18" fillId="0" borderId="0"/>
    <xf numFmtId="0" fontId="21" fillId="0" borderId="0"/>
    <xf numFmtId="0" fontId="18" fillId="0" borderId="0"/>
    <xf numFmtId="0" fontId="18" fillId="0" borderId="0"/>
    <xf numFmtId="0" fontId="21" fillId="0" borderId="0"/>
    <xf numFmtId="0" fontId="18" fillId="0" borderId="0"/>
    <xf numFmtId="0" fontId="18" fillId="0" borderId="0"/>
    <xf numFmtId="0" fontId="21" fillId="0" borderId="0"/>
    <xf numFmtId="164" fontId="14" fillId="0" borderId="0" applyFont="0" applyFill="0" applyProtection="0"/>
    <xf numFmtId="165" fontId="14" fillId="0" borderId="0" applyFont="0" applyFill="0" applyProtection="0"/>
    <xf numFmtId="10" fontId="14" fillId="0" borderId="0" applyFont="0" applyFill="0" applyProtection="0"/>
    <xf numFmtId="12" fontId="14" fillId="0" borderId="0" applyFont="0" applyFill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2" fillId="0" borderId="0"/>
    <xf numFmtId="0" fontId="2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2" fillId="0" borderId="0"/>
    <xf numFmtId="0" fontId="22" fillId="0" borderId="0"/>
    <xf numFmtId="0" fontId="22" fillId="0" borderId="0"/>
    <xf numFmtId="0" fontId="1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4" fillId="0" borderId="0"/>
    <xf numFmtId="0" fontId="11" fillId="0" borderId="0"/>
    <xf numFmtId="0" fontId="22" fillId="0" borderId="0"/>
    <xf numFmtId="0" fontId="22" fillId="0" borderId="0"/>
    <xf numFmtId="0" fontId="1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4" fillId="0" borderId="0"/>
    <xf numFmtId="0" fontId="22" fillId="0" borderId="0"/>
    <xf numFmtId="13" fontId="14" fillId="0" borderId="0" applyFont="0" applyFill="0" applyProtection="0"/>
    <xf numFmtId="0" fontId="1" fillId="0" borderId="0"/>
    <xf numFmtId="43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6" fillId="0" borderId="0"/>
    <xf numFmtId="0" fontId="26" fillId="0" borderId="0"/>
    <xf numFmtId="9" fontId="1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1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</cellStyleXfs>
  <cellXfs count="16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textRotation="90" wrapText="1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/>
    <xf numFmtId="0" fontId="2" fillId="0" borderId="7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8" xfId="0" applyFont="1" applyBorder="1" applyAlignment="1">
      <alignment horizontal="center" vertical="center" textRotation="90" wrapText="1"/>
    </xf>
    <xf numFmtId="2" fontId="2" fillId="0" borderId="8" xfId="0" applyNumberFormat="1" applyFont="1" applyBorder="1" applyAlignment="1">
      <alignment horizontal="center"/>
    </xf>
    <xf numFmtId="2" fontId="3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 textRotation="90" wrapText="1"/>
    </xf>
    <xf numFmtId="0" fontId="3" fillId="0" borderId="11" xfId="0" applyFont="1" applyBorder="1" applyAlignment="1">
      <alignment horizontal="center" vertical="center" textRotation="90" wrapText="1"/>
    </xf>
    <xf numFmtId="0" fontId="2" fillId="0" borderId="12" xfId="0" applyFont="1" applyBorder="1"/>
    <xf numFmtId="0" fontId="2" fillId="0" borderId="13" xfId="0" applyFont="1" applyBorder="1"/>
    <xf numFmtId="166" fontId="2" fillId="0" borderId="14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6" fontId="2" fillId="0" borderId="15" xfId="0" applyNumberFormat="1" applyFont="1" applyBorder="1"/>
    <xf numFmtId="166" fontId="3" fillId="0" borderId="16" xfId="0" applyNumberFormat="1" applyFont="1" applyBorder="1" applyAlignment="1">
      <alignment horizontal="center" vertical="center" textRotation="90" wrapText="1"/>
    </xf>
    <xf numFmtId="166" fontId="2" fillId="0" borderId="0" xfId="0" applyNumberFormat="1" applyFont="1"/>
    <xf numFmtId="166" fontId="2" fillId="0" borderId="17" xfId="0" applyNumberFormat="1" applyFont="1" applyBorder="1"/>
    <xf numFmtId="166" fontId="3" fillId="0" borderId="14" xfId="0" applyNumberFormat="1" applyFont="1" applyBorder="1" applyAlignment="1">
      <alignment horizontal="center"/>
    </xf>
    <xf numFmtId="166" fontId="2" fillId="0" borderId="18" xfId="0" applyNumberFormat="1" applyFont="1" applyBorder="1" applyAlignment="1">
      <alignment horizontal="center"/>
    </xf>
    <xf numFmtId="166" fontId="3" fillId="0" borderId="16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2" fillId="0" borderId="4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0" fontId="8" fillId="0" borderId="0" xfId="0" applyFont="1"/>
    <xf numFmtId="0" fontId="2" fillId="0" borderId="4" xfId="0" applyFont="1" applyBorder="1"/>
    <xf numFmtId="0" fontId="2" fillId="0" borderId="0" xfId="0" applyFont="1" applyAlignment="1">
      <alignment horizontal="center" wrapText="1"/>
    </xf>
    <xf numFmtId="166" fontId="2" fillId="0" borderId="10" xfId="0" applyNumberFormat="1" applyFont="1" applyBorder="1" applyAlignment="1">
      <alignment horizontal="center"/>
    </xf>
    <xf numFmtId="166" fontId="2" fillId="0" borderId="7" xfId="0" applyNumberFormat="1" applyFont="1" applyBorder="1"/>
    <xf numFmtId="166" fontId="2" fillId="0" borderId="12" xfId="0" applyNumberFormat="1" applyFont="1" applyBorder="1"/>
    <xf numFmtId="2" fontId="2" fillId="0" borderId="0" xfId="0" applyNumberFormat="1" applyFont="1"/>
    <xf numFmtId="2" fontId="2" fillId="0" borderId="13" xfId="0" applyNumberFormat="1" applyFont="1" applyBorder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5" borderId="1" xfId="0" applyFont="1" applyFill="1" applyBorder="1"/>
    <xf numFmtId="0" fontId="3" fillId="6" borderId="1" xfId="0" applyFont="1" applyFill="1" applyBorder="1"/>
    <xf numFmtId="0" fontId="3" fillId="0" borderId="0" xfId="0" applyFont="1"/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0" borderId="0" xfId="0" applyFont="1"/>
    <xf numFmtId="166" fontId="2" fillId="0" borderId="6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2" fontId="23" fillId="0" borderId="1" xfId="27" applyNumberFormat="1" applyFont="1" applyBorder="1" applyAlignment="1">
      <alignment horizontal="center"/>
    </xf>
    <xf numFmtId="0" fontId="23" fillId="0" borderId="1" xfId="27" applyFont="1" applyBorder="1" applyAlignment="1">
      <alignment horizontal="center"/>
    </xf>
    <xf numFmtId="1" fontId="24" fillId="0" borderId="1" xfId="27" applyNumberFormat="1" applyFont="1" applyBorder="1" applyAlignment="1">
      <alignment horizontal="center"/>
    </xf>
    <xf numFmtId="166" fontId="25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1" fontId="24" fillId="0" borderId="0" xfId="27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/>
    </xf>
    <xf numFmtId="0" fontId="23" fillId="0" borderId="3" xfId="27" applyFont="1" applyBorder="1" applyAlignment="1">
      <alignment horizontal="center"/>
    </xf>
    <xf numFmtId="0" fontId="23" fillId="0" borderId="0" xfId="27" applyFont="1" applyAlignment="1">
      <alignment horizontal="center"/>
    </xf>
    <xf numFmtId="2" fontId="23" fillId="0" borderId="3" xfId="27" applyNumberFormat="1" applyFont="1" applyBorder="1" applyAlignment="1">
      <alignment horizontal="center"/>
    </xf>
    <xf numFmtId="0" fontId="23" fillId="0" borderId="0" xfId="100" applyFont="1"/>
    <xf numFmtId="167" fontId="2" fillId="0" borderId="0" xfId="0" applyNumberFormat="1" applyFont="1"/>
    <xf numFmtId="167" fontId="2" fillId="0" borderId="19" xfId="0" applyNumberFormat="1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/>
    </xf>
    <xf numFmtId="167" fontId="3" fillId="0" borderId="11" xfId="0" applyNumberFormat="1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3" fillId="7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7" fontId="2" fillId="0" borderId="13" xfId="0" applyNumberFormat="1" applyFont="1" applyBorder="1"/>
    <xf numFmtId="0" fontId="3" fillId="0" borderId="0" xfId="0" applyFont="1" applyAlignment="1">
      <alignment horizontal="center" vertical="center" textRotation="90"/>
    </xf>
    <xf numFmtId="166" fontId="0" fillId="0" borderId="0" xfId="0" applyNumberFormat="1"/>
    <xf numFmtId="166" fontId="23" fillId="0" borderId="0" xfId="100" applyNumberFormat="1" applyFont="1"/>
    <xf numFmtId="0" fontId="27" fillId="0" borderId="1" xfId="0" applyFont="1" applyBorder="1" applyAlignment="1">
      <alignment horizontal="center"/>
    </xf>
    <xf numFmtId="0" fontId="28" fillId="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" fontId="23" fillId="0" borderId="1" xfId="27" applyNumberFormat="1" applyFont="1" applyBorder="1" applyAlignment="1">
      <alignment horizontal="center"/>
    </xf>
    <xf numFmtId="0" fontId="3" fillId="0" borderId="6" xfId="0" applyFont="1" applyBorder="1" applyAlignment="1">
      <alignment horizontal="center" vertical="center" wrapText="1"/>
    </xf>
    <xf numFmtId="0" fontId="2" fillId="14" borderId="3" xfId="0" applyFont="1" applyFill="1" applyBorder="1"/>
    <xf numFmtId="0" fontId="2" fillId="14" borderId="1" xfId="0" applyFont="1" applyFill="1" applyBorder="1" applyAlignment="1">
      <alignment horizontal="center"/>
    </xf>
    <xf numFmtId="166" fontId="2" fillId="14" borderId="1" xfId="0" applyNumberFormat="1" applyFont="1" applyFill="1" applyBorder="1" applyAlignment="1">
      <alignment horizontal="center"/>
    </xf>
    <xf numFmtId="0" fontId="2" fillId="14" borderId="0" xfId="0" applyFont="1" applyFill="1" applyAlignment="1">
      <alignment horizontal="center"/>
    </xf>
    <xf numFmtId="166" fontId="2" fillId="14" borderId="14" xfId="0" applyNumberFormat="1" applyFont="1" applyFill="1" applyBorder="1" applyAlignment="1">
      <alignment horizontal="center"/>
    </xf>
    <xf numFmtId="167" fontId="2" fillId="14" borderId="19" xfId="0" applyNumberFormat="1" applyFont="1" applyFill="1" applyBorder="1" applyAlignment="1">
      <alignment horizontal="center"/>
    </xf>
    <xf numFmtId="0" fontId="2" fillId="14" borderId="1" xfId="0" applyFont="1" applyFill="1" applyBorder="1"/>
    <xf numFmtId="2" fontId="2" fillId="14" borderId="1" xfId="0" applyNumberFormat="1" applyFont="1" applyFill="1" applyBorder="1" applyAlignment="1">
      <alignment horizontal="center"/>
    </xf>
    <xf numFmtId="2" fontId="2" fillId="14" borderId="8" xfId="0" applyNumberFormat="1" applyFont="1" applyFill="1" applyBorder="1" applyAlignment="1">
      <alignment horizontal="center"/>
    </xf>
    <xf numFmtId="167" fontId="2" fillId="14" borderId="1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2" fontId="27" fillId="0" borderId="8" xfId="0" applyNumberFormat="1" applyFont="1" applyBorder="1" applyAlignment="1">
      <alignment horizontal="center"/>
    </xf>
    <xf numFmtId="0" fontId="3" fillId="0" borderId="1" xfId="0" applyFont="1" applyBorder="1" applyAlignment="1">
      <alignment vertical="center" textRotation="90"/>
    </xf>
    <xf numFmtId="0" fontId="2" fillId="15" borderId="1" xfId="0" applyFont="1" applyFill="1" applyBorder="1" applyAlignment="1">
      <alignment horizontal="center"/>
    </xf>
    <xf numFmtId="166" fontId="2" fillId="15" borderId="14" xfId="0" applyNumberFormat="1" applyFont="1" applyFill="1" applyBorder="1" applyAlignment="1">
      <alignment horizontal="center"/>
    </xf>
    <xf numFmtId="166" fontId="2" fillId="15" borderId="1" xfId="0" applyNumberFormat="1" applyFont="1" applyFill="1" applyBorder="1" applyAlignment="1">
      <alignment horizontal="center"/>
    </xf>
    <xf numFmtId="166" fontId="27" fillId="0" borderId="1" xfId="0" applyNumberFormat="1" applyFont="1" applyBorder="1" applyAlignment="1">
      <alignment horizontal="center"/>
    </xf>
    <xf numFmtId="166" fontId="27" fillId="8" borderId="1" xfId="0" applyNumberFormat="1" applyFont="1" applyFill="1" applyBorder="1" applyAlignment="1">
      <alignment horizontal="center"/>
    </xf>
    <xf numFmtId="0" fontId="2" fillId="15" borderId="3" xfId="0" applyFont="1" applyFill="1" applyBorder="1"/>
    <xf numFmtId="0" fontId="2" fillId="15" borderId="0" xfId="0" applyFont="1" applyFill="1" applyAlignment="1">
      <alignment horizontal="center"/>
    </xf>
    <xf numFmtId="167" fontId="2" fillId="15" borderId="19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 wrapText="1"/>
    </xf>
    <xf numFmtId="0" fontId="27" fillId="0" borderId="1" xfId="0" applyFont="1" applyBorder="1"/>
    <xf numFmtId="0" fontId="27" fillId="8" borderId="1" xfId="0" applyFont="1" applyFill="1" applyBorder="1" applyAlignment="1">
      <alignment horizontal="center"/>
    </xf>
    <xf numFmtId="2" fontId="2" fillId="14" borderId="1" xfId="27" applyNumberFormat="1" applyFont="1" applyFill="1" applyBorder="1" applyAlignment="1">
      <alignment horizontal="center"/>
    </xf>
    <xf numFmtId="2" fontId="27" fillId="14" borderId="1" xfId="27" applyNumberFormat="1" applyFont="1" applyFill="1" applyBorder="1" applyAlignment="1">
      <alignment horizontal="center"/>
    </xf>
    <xf numFmtId="2" fontId="23" fillId="14" borderId="1" xfId="27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 wrapText="1"/>
    </xf>
    <xf numFmtId="0" fontId="3" fillId="14" borderId="1" xfId="0" applyFont="1" applyFill="1" applyBorder="1" applyAlignment="1">
      <alignment vertical="center" textRotation="90"/>
    </xf>
    <xf numFmtId="2" fontId="23" fillId="0" borderId="1" xfId="0" applyNumberFormat="1" applyFont="1" applyBorder="1" applyAlignment="1">
      <alignment horizontal="center"/>
    </xf>
    <xf numFmtId="166" fontId="23" fillId="0" borderId="14" xfId="0" applyNumberFormat="1" applyFont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16" borderId="1" xfId="0" applyNumberFormat="1" applyFill="1" applyBorder="1" applyAlignment="1">
      <alignment horizontal="center" vertical="center"/>
    </xf>
    <xf numFmtId="166" fontId="9" fillId="16" borderId="1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/>
    </xf>
    <xf numFmtId="0" fontId="3" fillId="10" borderId="3" xfId="0" applyFont="1" applyFill="1" applyBorder="1"/>
    <xf numFmtId="0" fontId="3" fillId="10" borderId="4" xfId="0" applyFont="1" applyFill="1" applyBorder="1"/>
    <xf numFmtId="0" fontId="3" fillId="10" borderId="6" xfId="0" applyFont="1" applyFill="1" applyBorder="1"/>
    <xf numFmtId="0" fontId="2" fillId="14" borderId="6" xfId="0" applyFont="1" applyFill="1" applyBorder="1" applyAlignment="1">
      <alignment horizontal="center"/>
    </xf>
    <xf numFmtId="1" fontId="2" fillId="14" borderId="1" xfId="0" applyNumberFormat="1" applyFont="1" applyFill="1" applyBorder="1" applyAlignment="1">
      <alignment horizontal="center"/>
    </xf>
    <xf numFmtId="166" fontId="9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1" xfId="0" applyFont="1" applyBorder="1" applyAlignment="1">
      <alignment horizontal="center" vertical="center" textRotation="90"/>
    </xf>
    <xf numFmtId="0" fontId="7" fillId="8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 textRotation="90" wrapText="1"/>
    </xf>
    <xf numFmtId="0" fontId="3" fillId="0" borderId="21" xfId="0" applyFont="1" applyBorder="1" applyAlignment="1">
      <alignment horizontal="center" vertical="center" textRotation="90" wrapText="1"/>
    </xf>
    <xf numFmtId="0" fontId="3" fillId="0" borderId="22" xfId="0" applyFont="1" applyBorder="1" applyAlignment="1">
      <alignment horizontal="center" vertical="center" textRotation="90" wrapText="1"/>
    </xf>
    <xf numFmtId="0" fontId="7" fillId="1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66" fontId="3" fillId="8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166" fontId="9" fillId="16" borderId="1" xfId="0" applyNumberFormat="1" applyFont="1" applyFill="1" applyBorder="1" applyAlignment="1">
      <alignment horizontal="center" vertical="center"/>
    </xf>
  </cellXfs>
  <cellStyles count="120">
    <cellStyle name="ANCLAS,REZONES Y SUS PARTES,DE FUNDICION,DE HIERRO O DE ACERO" xfId="104" xr:uid="{D79C91C6-8B4A-4173-BF5A-D8A8FCDA78CB}"/>
    <cellStyle name="ANCLAS,REZONES Y SUS PARTES,DE FUNDICION,DE HIERRO O DE ACERO 2" xfId="106" xr:uid="{E1735339-2549-47CD-B552-F278A4D36102}"/>
    <cellStyle name="ANCLAS,REZONES Y SUS PARTES,DE FUNDICION,DE HIERRO O DE ACERO 3" xfId="105" xr:uid="{3BC21735-1202-430B-9587-E7A33462A54B}"/>
    <cellStyle name="ANCLAS,REZONES Y SUS PARTES,DE FUNDICION,DE HIERRO O DE ACERO_DATOS RESERVAS PAM AL 31 DIC 2011(ke_lmn)" xfId="116" xr:uid="{015F19C6-F813-4778-94A4-33534CBB831D}"/>
    <cellStyle name="bold" xfId="1" xr:uid="{00000000-0005-0000-0000-000000000000}"/>
    <cellStyle name="bold 2" xfId="2" xr:uid="{00000000-0005-0000-0000-000001000000}"/>
    <cellStyle name="bold 3" xfId="3" xr:uid="{00000000-0005-0000-0000-000002000000}"/>
    <cellStyle name="bold 3 2" xfId="4" xr:uid="{00000000-0005-0000-0000-000003000000}"/>
    <cellStyle name="bold 3 2 2" xfId="5" xr:uid="{00000000-0005-0000-0000-000004000000}"/>
    <cellStyle name="bold 4" xfId="6" xr:uid="{00000000-0005-0000-0000-000005000000}"/>
    <cellStyle name="bold 4 2" xfId="7" xr:uid="{00000000-0005-0000-0000-000006000000}"/>
    <cellStyle name="bold 4 2 2" xfId="8" xr:uid="{00000000-0005-0000-0000-000007000000}"/>
    <cellStyle name="bold 5" xfId="9" xr:uid="{00000000-0005-0000-0000-000008000000}"/>
    <cellStyle name="bold 5 2" xfId="10" xr:uid="{00000000-0005-0000-0000-000009000000}"/>
    <cellStyle name="bold 5 2 2" xfId="11" xr:uid="{00000000-0005-0000-0000-00000A000000}"/>
    <cellStyle name="bold 6" xfId="12" xr:uid="{00000000-0005-0000-0000-00000B000000}"/>
    <cellStyle name="bold 6 2" xfId="13" xr:uid="{00000000-0005-0000-0000-00000C000000}"/>
    <cellStyle name="bold 6 2 2" xfId="14" xr:uid="{00000000-0005-0000-0000-00000D000000}"/>
    <cellStyle name="bold 7" xfId="15" xr:uid="{00000000-0005-0000-0000-00000E000000}"/>
    <cellStyle name="bold 7 2" xfId="16" xr:uid="{00000000-0005-0000-0000-00000F000000}"/>
    <cellStyle name="bold 7 2 2" xfId="17" xr:uid="{00000000-0005-0000-0000-000010000000}"/>
    <cellStyle name="bold 8" xfId="18" xr:uid="{00000000-0005-0000-0000-000011000000}"/>
    <cellStyle name="bold 8 2" xfId="19" xr:uid="{00000000-0005-0000-0000-000012000000}"/>
    <cellStyle name="bold 8 2 2" xfId="20" xr:uid="{00000000-0005-0000-0000-000013000000}"/>
    <cellStyle name="Comma [0]_sim_data" xfId="21" xr:uid="{00000000-0005-0000-0000-000014000000}"/>
    <cellStyle name="Comma_sim_data" xfId="22" xr:uid="{00000000-0005-0000-0000-000015000000}"/>
    <cellStyle name="Currency [0]_sim_data" xfId="23" xr:uid="{00000000-0005-0000-0000-000016000000}"/>
    <cellStyle name="Currency_sim_data" xfId="24" xr:uid="{00000000-0005-0000-0000-000017000000}"/>
    <cellStyle name="Hipervínculo 2" xfId="25" xr:uid="{00000000-0005-0000-0000-000018000000}"/>
    <cellStyle name="Hyperlink_dv_4252_smoothed" xfId="26" xr:uid="{00000000-0005-0000-0000-000019000000}"/>
    <cellStyle name="Millares 2" xfId="103" xr:uid="{1F75AED2-7879-4D3A-8D7D-F0F8A086B64C}"/>
    <cellStyle name="Normal" xfId="0" builtinId="0"/>
    <cellStyle name="Normal 11" xfId="27" xr:uid="{00000000-0005-0000-0000-00001B000000}"/>
    <cellStyle name="Normal 12" xfId="28" xr:uid="{00000000-0005-0000-0000-00001C000000}"/>
    <cellStyle name="Normal 13" xfId="29" xr:uid="{00000000-0005-0000-0000-00001D000000}"/>
    <cellStyle name="Normal 14" xfId="108" xr:uid="{64C89194-8403-45B9-B5A8-08BFDE04395C}"/>
    <cellStyle name="Normal 2" xfId="30" xr:uid="{00000000-0005-0000-0000-00001E000000}"/>
    <cellStyle name="Normal 2 10" xfId="31" xr:uid="{00000000-0005-0000-0000-00001F000000}"/>
    <cellStyle name="Normal 2 11" xfId="32" xr:uid="{00000000-0005-0000-0000-000020000000}"/>
    <cellStyle name="Normal 2 12" xfId="33" xr:uid="{00000000-0005-0000-0000-000021000000}"/>
    <cellStyle name="Normal 2 13" xfId="34" xr:uid="{00000000-0005-0000-0000-000022000000}"/>
    <cellStyle name="Normal 2 14" xfId="35" xr:uid="{00000000-0005-0000-0000-000023000000}"/>
    <cellStyle name="Normal 2 15" xfId="36" xr:uid="{00000000-0005-0000-0000-000024000000}"/>
    <cellStyle name="Normal 2 16" xfId="37" xr:uid="{00000000-0005-0000-0000-000025000000}"/>
    <cellStyle name="Normal 2 17" xfId="38" xr:uid="{00000000-0005-0000-0000-000026000000}"/>
    <cellStyle name="Normal 2 18" xfId="39" xr:uid="{00000000-0005-0000-0000-000027000000}"/>
    <cellStyle name="Normal 2 19" xfId="40" xr:uid="{00000000-0005-0000-0000-000028000000}"/>
    <cellStyle name="Normal 2 2" xfId="41" xr:uid="{00000000-0005-0000-0000-000029000000}"/>
    <cellStyle name="Normal 2 20" xfId="42" xr:uid="{00000000-0005-0000-0000-00002A000000}"/>
    <cellStyle name="Normal 2 21" xfId="43" xr:uid="{00000000-0005-0000-0000-00002B000000}"/>
    <cellStyle name="Normal 2 22" xfId="44" xr:uid="{00000000-0005-0000-0000-00002C000000}"/>
    <cellStyle name="Normal 2 23" xfId="45" xr:uid="{00000000-0005-0000-0000-00002D000000}"/>
    <cellStyle name="Normal 2 24" xfId="46" xr:uid="{00000000-0005-0000-0000-00002E000000}"/>
    <cellStyle name="Normal 2 25" xfId="47" xr:uid="{00000000-0005-0000-0000-00002F000000}"/>
    <cellStyle name="Normal 2 26" xfId="48" xr:uid="{00000000-0005-0000-0000-000030000000}"/>
    <cellStyle name="Normal 2 27" xfId="49" xr:uid="{00000000-0005-0000-0000-000031000000}"/>
    <cellStyle name="Normal 2 28" xfId="50" xr:uid="{00000000-0005-0000-0000-000032000000}"/>
    <cellStyle name="Normal 2 29" xfId="51" xr:uid="{00000000-0005-0000-0000-000033000000}"/>
    <cellStyle name="Normal 2 3" xfId="52" xr:uid="{00000000-0005-0000-0000-000034000000}"/>
    <cellStyle name="Normal 2 3 2" xfId="53" xr:uid="{00000000-0005-0000-0000-000035000000}"/>
    <cellStyle name="Normal 2 30" xfId="54" xr:uid="{00000000-0005-0000-0000-000036000000}"/>
    <cellStyle name="Normal 2 31" xfId="55" xr:uid="{00000000-0005-0000-0000-000037000000}"/>
    <cellStyle name="Normal 2 32" xfId="56" xr:uid="{00000000-0005-0000-0000-000038000000}"/>
    <cellStyle name="Normal 2 33" xfId="57" xr:uid="{00000000-0005-0000-0000-000039000000}"/>
    <cellStyle name="Normal 2 4" xfId="58" xr:uid="{00000000-0005-0000-0000-00003A000000}"/>
    <cellStyle name="Normal 2 5" xfId="59" xr:uid="{00000000-0005-0000-0000-00003B000000}"/>
    <cellStyle name="Normal 2 6" xfId="60" xr:uid="{00000000-0005-0000-0000-00003C000000}"/>
    <cellStyle name="Normal 2 7" xfId="61" xr:uid="{00000000-0005-0000-0000-00003D000000}"/>
    <cellStyle name="Normal 2 8" xfId="62" xr:uid="{00000000-0005-0000-0000-00003E000000}"/>
    <cellStyle name="Normal 2 9" xfId="63" xr:uid="{00000000-0005-0000-0000-00003F000000}"/>
    <cellStyle name="Normal 22" xfId="64" xr:uid="{00000000-0005-0000-0000-000040000000}"/>
    <cellStyle name="Normal 23" xfId="65" xr:uid="{00000000-0005-0000-0000-000041000000}"/>
    <cellStyle name="Normal 24" xfId="66" xr:uid="{00000000-0005-0000-0000-000042000000}"/>
    <cellStyle name="Normal 3" xfId="67" xr:uid="{00000000-0005-0000-0000-000043000000}"/>
    <cellStyle name="Normal 33" xfId="68" xr:uid="{00000000-0005-0000-0000-000044000000}"/>
    <cellStyle name="Normal 34" xfId="69" xr:uid="{00000000-0005-0000-0000-000045000000}"/>
    <cellStyle name="Normal 35" xfId="70" xr:uid="{00000000-0005-0000-0000-000046000000}"/>
    <cellStyle name="Normal 36" xfId="71" xr:uid="{00000000-0005-0000-0000-000047000000}"/>
    <cellStyle name="Normal 37" xfId="72" xr:uid="{00000000-0005-0000-0000-000048000000}"/>
    <cellStyle name="Normal 38" xfId="73" xr:uid="{00000000-0005-0000-0000-000049000000}"/>
    <cellStyle name="Normal 39" xfId="74" xr:uid="{00000000-0005-0000-0000-00004A000000}"/>
    <cellStyle name="Normal 4" xfId="75" xr:uid="{00000000-0005-0000-0000-00004B000000}"/>
    <cellStyle name="Normal 40" xfId="76" xr:uid="{00000000-0005-0000-0000-00004C000000}"/>
    <cellStyle name="Normal 41" xfId="77" xr:uid="{00000000-0005-0000-0000-00004D000000}"/>
    <cellStyle name="Normal 42" xfId="78" xr:uid="{00000000-0005-0000-0000-00004E000000}"/>
    <cellStyle name="Normal 43" xfId="79" xr:uid="{00000000-0005-0000-0000-00004F000000}"/>
    <cellStyle name="Normal 44" xfId="80" xr:uid="{00000000-0005-0000-0000-000050000000}"/>
    <cellStyle name="Normal 45" xfId="81" xr:uid="{00000000-0005-0000-0000-000051000000}"/>
    <cellStyle name="Normal 46" xfId="82" xr:uid="{00000000-0005-0000-0000-000052000000}"/>
    <cellStyle name="Normal 47" xfId="83" xr:uid="{00000000-0005-0000-0000-000053000000}"/>
    <cellStyle name="Normal 48" xfId="84" xr:uid="{00000000-0005-0000-0000-000054000000}"/>
    <cellStyle name="Normal 49" xfId="85" xr:uid="{00000000-0005-0000-0000-000055000000}"/>
    <cellStyle name="Normal 5" xfId="86" xr:uid="{00000000-0005-0000-0000-000056000000}"/>
    <cellStyle name="Normal 5 2" xfId="87" xr:uid="{00000000-0005-0000-0000-000057000000}"/>
    <cellStyle name="Normal 50" xfId="88" xr:uid="{00000000-0005-0000-0000-000058000000}"/>
    <cellStyle name="Normal 51" xfId="89" xr:uid="{00000000-0005-0000-0000-000059000000}"/>
    <cellStyle name="Normal 52" xfId="90" xr:uid="{00000000-0005-0000-0000-00005A000000}"/>
    <cellStyle name="Normal 53" xfId="91" xr:uid="{00000000-0005-0000-0000-00005B000000}"/>
    <cellStyle name="Normal 54" xfId="92" xr:uid="{00000000-0005-0000-0000-00005C000000}"/>
    <cellStyle name="Normal 55" xfId="93" xr:uid="{00000000-0005-0000-0000-00005D000000}"/>
    <cellStyle name="Normal 56" xfId="94" xr:uid="{00000000-0005-0000-0000-00005E000000}"/>
    <cellStyle name="Normal 57" xfId="95" xr:uid="{00000000-0005-0000-0000-00005F000000}"/>
    <cellStyle name="Normal 58" xfId="96" xr:uid="{00000000-0005-0000-0000-000060000000}"/>
    <cellStyle name="Normal 59" xfId="97" xr:uid="{00000000-0005-0000-0000-000061000000}"/>
    <cellStyle name="Normal 6" xfId="98" xr:uid="{00000000-0005-0000-0000-000062000000}"/>
    <cellStyle name="Normal 60" xfId="99" xr:uid="{00000000-0005-0000-0000-000063000000}"/>
    <cellStyle name="Normal 7" xfId="100" xr:uid="{00000000-0005-0000-0000-000064000000}"/>
    <cellStyle name="Normal 72" xfId="107" xr:uid="{30422D13-23C9-45A2-8961-E84ED5F70D90}"/>
    <cellStyle name="Normal 73" xfId="110" xr:uid="{7CABFEAA-697C-4F61-B11E-0DA467657181}"/>
    <cellStyle name="Normal 74" xfId="111" xr:uid="{A6B96E8F-DBF6-437A-BCBF-6895764551AE}"/>
    <cellStyle name="Normal 75" xfId="112" xr:uid="{121F6449-2470-4B35-BD13-846542D993E7}"/>
    <cellStyle name="Normal 76" xfId="113" xr:uid="{2C435EF9-FE35-4084-9442-6AC2EC7C2E78}"/>
    <cellStyle name="Normal 77" xfId="114" xr:uid="{C635A605-F656-4A0F-85A1-47F2BA99E33F}"/>
    <cellStyle name="Normal 78" xfId="115" xr:uid="{1C99521E-C64F-4351-9701-4D3446DB506A}"/>
    <cellStyle name="Normal 79" xfId="117" xr:uid="{08BC8B59-089C-4AF7-8BE1-0125A359B848}"/>
    <cellStyle name="Normal 8" xfId="102" xr:uid="{2FA40EA1-91B3-408C-9014-883589FC1D1B}"/>
    <cellStyle name="Normal 80" xfId="118" xr:uid="{F1FD921A-EC96-4ECD-9303-BB982B11D284}"/>
    <cellStyle name="Normal 81" xfId="119" xr:uid="{8BE74ED4-2CF5-464D-B52E-D46170B5E986}"/>
    <cellStyle name="Percent 2" xfId="109" xr:uid="{B6DF026C-FA78-47DC-97C9-8D29497F975B}"/>
    <cellStyle name="Percent_sim_data" xfId="101" xr:uid="{00000000-0005-0000-0000-000068000000}"/>
  </cellStyles>
  <dxfs count="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8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008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008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 i="0" baseline="0">
                <a:effectLst/>
              </a:rPr>
              <a:t>Screening - EOR - Resultados / Puntaje</a:t>
            </a:r>
            <a:endParaRPr lang="es-ES">
              <a:effectLst/>
            </a:endParaRP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0" i="1" baseline="0">
                <a:effectLst/>
              </a:rPr>
              <a:t>Campo Yanaquincha</a:t>
            </a:r>
            <a:endParaRPr lang="es-ES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7E9-4274-B838-5845629CEFA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7E9-4274-B838-5845629CEFA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7E9-4274-B838-5845629CEFA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7E9-4274-B838-5845629CEFA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07E9-4274-B838-5845629CEFA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07E9-4274-B838-5845629CEFA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6-07E9-4274-B838-5845629CEFA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7-07E9-4274-B838-5845629CEFA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Reg_EOR_Parámetros!#REF!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Reg_EOR_Parámetros!#REF!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8-07E9-4274-B838-5845629CE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08721327"/>
        <c:axId val="1"/>
        <c:axId val="0"/>
      </c:bar3DChart>
      <c:catAx>
        <c:axId val="1208721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Puntaje</a:t>
                </a:r>
              </a:p>
            </c:rich>
          </c:tx>
          <c:layout>
            <c:manualLayout>
              <c:xMode val="edge"/>
              <c:yMode val="edge"/>
              <c:x val="0.22435169782180983"/>
              <c:y val="0.336503781183196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20872132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19050</xdr:colOff>
      <xdr:row>54</xdr:row>
      <xdr:rowOff>0</xdr:rowOff>
    </xdr:from>
    <xdr:to>
      <xdr:col>31</xdr:col>
      <xdr:colOff>9525</xdr:colOff>
      <xdr:row>56</xdr:row>
      <xdr:rowOff>0</xdr:rowOff>
    </xdr:to>
    <xdr:graphicFrame macro="">
      <xdr:nvGraphicFramePr>
        <xdr:cNvPr id="81068" name="Gráfico 1">
          <a:extLst>
            <a:ext uri="{FF2B5EF4-FFF2-40B4-BE49-F238E27FC236}">
              <a16:creationId xmlns:a16="http://schemas.microsoft.com/office/drawing/2014/main" id="{00000000-0008-0000-0000-0000AC3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6:P61"/>
  <sheetViews>
    <sheetView tabSelected="1" zoomScaleNormal="100" workbookViewId="0">
      <selection activeCell="G65" sqref="G65"/>
    </sheetView>
  </sheetViews>
  <sheetFormatPr baseColWidth="10" defaultRowHeight="12.5"/>
  <cols>
    <col min="1" max="1" width="1.453125" customWidth="1"/>
    <col min="2" max="2" width="25.26953125" customWidth="1"/>
    <col min="3" max="3" width="3.7265625" customWidth="1"/>
    <col min="4" max="6" width="6.54296875" customWidth="1"/>
    <col min="7" max="7" width="7.7265625" customWidth="1"/>
    <col min="8" max="8" width="7" customWidth="1"/>
    <col min="9" max="13" width="6.54296875" customWidth="1"/>
    <col min="14" max="14" width="1.26953125" customWidth="1"/>
  </cols>
  <sheetData>
    <row r="6" spans="2:14" ht="13">
      <c r="B6" s="138" t="s">
        <v>72</v>
      </c>
      <c r="C6" s="61"/>
      <c r="D6" s="139" t="s">
        <v>75</v>
      </c>
      <c r="E6" s="140"/>
      <c r="F6" s="140"/>
      <c r="G6" s="140"/>
      <c r="H6" s="140"/>
      <c r="I6" s="140"/>
      <c r="J6" s="140"/>
      <c r="K6" s="140"/>
      <c r="L6" s="140"/>
      <c r="M6" s="141"/>
      <c r="N6" s="4"/>
    </row>
    <row r="7" spans="2:14" ht="13">
      <c r="B7" s="138" t="s">
        <v>71</v>
      </c>
      <c r="C7" s="61"/>
      <c r="D7" s="94" t="s">
        <v>76</v>
      </c>
      <c r="E7" s="94"/>
      <c r="F7" s="94"/>
      <c r="G7" s="94"/>
      <c r="H7" s="94"/>
      <c r="I7" s="62"/>
      <c r="J7" s="62"/>
      <c r="K7" s="62"/>
      <c r="L7" s="62"/>
      <c r="M7" s="62"/>
      <c r="N7" s="72"/>
    </row>
    <row r="8" spans="2:14" ht="13.4" customHeight="1">
      <c r="B8" s="59" t="s">
        <v>23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</row>
    <row r="9" spans="2:14">
      <c r="B9" s="60" t="s">
        <v>2</v>
      </c>
      <c r="C9" s="4"/>
    </row>
    <row r="10" spans="2:14" ht="3" customHeight="1">
      <c r="B10" s="52"/>
      <c r="C10" s="52"/>
    </row>
    <row r="11" spans="2:14">
      <c r="B11" s="54" t="s">
        <v>29</v>
      </c>
      <c r="C11" s="56"/>
      <c r="D11" s="33">
        <v>28.9</v>
      </c>
      <c r="E11" s="65"/>
      <c r="F11" s="33"/>
      <c r="G11" s="33"/>
      <c r="H11" s="33"/>
      <c r="I11" s="33"/>
      <c r="J11" s="33"/>
      <c r="K11" s="33"/>
      <c r="L11" s="33"/>
      <c r="M11" s="33"/>
      <c r="N11" s="43"/>
    </row>
    <row r="12" spans="2:14" ht="3.25" customHeight="1">
      <c r="B12" s="56"/>
      <c r="C12" s="56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2:14">
      <c r="B13" s="54" t="s">
        <v>30</v>
      </c>
      <c r="C13" s="56"/>
      <c r="D13" s="9">
        <v>1.55</v>
      </c>
      <c r="E13" s="66"/>
      <c r="F13" s="9"/>
      <c r="G13" s="9"/>
      <c r="H13" s="9"/>
      <c r="I13" s="9"/>
      <c r="J13" s="9"/>
      <c r="K13" s="9"/>
      <c r="L13" s="9"/>
      <c r="M13" s="9"/>
      <c r="N13" s="2"/>
    </row>
    <row r="14" spans="2:14" ht="3.25" customHeight="1">
      <c r="B14" s="56"/>
      <c r="C14" s="56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2:14">
      <c r="B15" s="54" t="s">
        <v>22</v>
      </c>
      <c r="C15" s="5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2:14" ht="13.5" hidden="1">
      <c r="B16" s="63" t="s">
        <v>25</v>
      </c>
      <c r="C16" s="57"/>
      <c r="D16" s="121"/>
      <c r="E16" s="121"/>
      <c r="F16" s="122"/>
      <c r="G16" s="123"/>
      <c r="H16" s="123"/>
      <c r="I16" s="67"/>
      <c r="J16" s="67"/>
      <c r="K16" s="67"/>
      <c r="L16" s="78"/>
      <c r="M16" s="68"/>
      <c r="N16" s="77"/>
    </row>
    <row r="17" spans="2:14" ht="13.5" hidden="1">
      <c r="B17" s="63" t="s">
        <v>26</v>
      </c>
      <c r="C17" s="57"/>
      <c r="D17" s="121"/>
      <c r="E17" s="121"/>
      <c r="F17" s="122"/>
      <c r="G17" s="123"/>
      <c r="H17" s="123"/>
      <c r="I17" s="67"/>
      <c r="J17" s="67"/>
      <c r="K17" s="67"/>
      <c r="L17" s="78"/>
      <c r="M17" s="68"/>
      <c r="N17" s="77"/>
    </row>
    <row r="18" spans="2:14" ht="13.5" hidden="1">
      <c r="B18" s="63" t="s">
        <v>27</v>
      </c>
      <c r="C18" s="57"/>
      <c r="D18" s="121"/>
      <c r="E18" s="121"/>
      <c r="F18" s="122"/>
      <c r="G18" s="123"/>
      <c r="H18" s="123"/>
      <c r="I18" s="67"/>
      <c r="J18" s="67"/>
      <c r="K18" s="67"/>
      <c r="L18" s="76"/>
      <c r="M18" s="68"/>
      <c r="N18" s="77"/>
    </row>
    <row r="19" spans="2:14">
      <c r="B19" s="63" t="s">
        <v>49</v>
      </c>
      <c r="C19" s="2"/>
      <c r="D19" s="9" t="s">
        <v>50</v>
      </c>
      <c r="E19" s="9"/>
      <c r="F19" s="9"/>
      <c r="G19" s="9"/>
      <c r="H19" s="9"/>
      <c r="I19" s="9"/>
      <c r="J19" s="9"/>
      <c r="K19" s="9"/>
      <c r="L19" s="9"/>
      <c r="M19" s="9"/>
      <c r="N19" s="2"/>
    </row>
    <row r="20" spans="2:14">
      <c r="B20" s="63" t="s">
        <v>41</v>
      </c>
      <c r="C20" s="2"/>
      <c r="D20" s="9">
        <v>33516.724137931036</v>
      </c>
      <c r="E20" s="9"/>
      <c r="F20" s="9"/>
      <c r="G20" s="9"/>
      <c r="H20" s="9"/>
      <c r="I20" s="9"/>
      <c r="J20" s="9"/>
      <c r="K20" s="9"/>
      <c r="L20" s="9"/>
      <c r="M20" s="9"/>
      <c r="N20" s="2"/>
    </row>
    <row r="21" spans="2:14">
      <c r="B21" s="63" t="s">
        <v>42</v>
      </c>
      <c r="C21" s="2"/>
      <c r="D21" s="9">
        <v>2000</v>
      </c>
      <c r="E21" s="9"/>
      <c r="F21" s="9"/>
      <c r="G21" s="9"/>
      <c r="H21" s="9"/>
      <c r="I21" s="9"/>
      <c r="J21" s="9"/>
      <c r="K21" s="9"/>
      <c r="L21" s="9"/>
      <c r="M21" s="9"/>
      <c r="N21" s="2"/>
    </row>
    <row r="22" spans="2:14">
      <c r="B22" s="93" t="s">
        <v>48</v>
      </c>
      <c r="C22" s="2"/>
      <c r="D22" s="9" t="s">
        <v>50</v>
      </c>
      <c r="E22" s="9"/>
      <c r="F22" s="9"/>
      <c r="G22" s="9"/>
      <c r="H22" s="9"/>
      <c r="I22" s="9"/>
      <c r="J22" s="9"/>
      <c r="K22" s="9"/>
      <c r="L22" s="9"/>
      <c r="M22" s="9"/>
      <c r="N22" s="2"/>
    </row>
    <row r="23" spans="2:14">
      <c r="B23" s="63" t="s">
        <v>43</v>
      </c>
      <c r="C23" s="2"/>
      <c r="D23" s="124">
        <v>25</v>
      </c>
      <c r="E23" s="124"/>
      <c r="F23" s="124"/>
      <c r="G23" s="124"/>
      <c r="H23" s="92"/>
      <c r="I23" s="9"/>
      <c r="J23" s="9"/>
      <c r="K23" s="9"/>
      <c r="L23" s="9"/>
      <c r="M23" s="9"/>
      <c r="N23" s="2"/>
    </row>
    <row r="24" spans="2:14">
      <c r="B24" s="63" t="s">
        <v>44</v>
      </c>
      <c r="C24" s="2"/>
      <c r="D24" s="9" t="s">
        <v>50</v>
      </c>
      <c r="E24" s="9"/>
      <c r="F24" s="9"/>
      <c r="G24" s="9"/>
      <c r="H24" s="9"/>
      <c r="I24" s="9"/>
      <c r="J24" s="9"/>
      <c r="K24" s="9"/>
      <c r="L24" s="9"/>
      <c r="M24" s="9"/>
      <c r="N24" s="2"/>
    </row>
    <row r="25" spans="2:14">
      <c r="B25" s="63" t="s">
        <v>56</v>
      </c>
      <c r="C25" s="2"/>
      <c r="D25" s="9">
        <v>0.5</v>
      </c>
      <c r="E25" s="9"/>
      <c r="F25" s="9"/>
      <c r="G25" s="9"/>
      <c r="H25" s="92"/>
      <c r="I25" s="9"/>
      <c r="J25" s="9"/>
      <c r="K25" s="9"/>
      <c r="L25" s="9"/>
      <c r="M25" s="9"/>
      <c r="N25" s="2"/>
    </row>
    <row r="26" spans="2:14"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2:14">
      <c r="B27" s="60" t="s">
        <v>4</v>
      </c>
      <c r="C27" s="4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2:14" ht="3.25" customHeight="1">
      <c r="B28" s="53"/>
      <c r="C28" s="5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2:14" ht="13.4" customHeight="1">
      <c r="B29" s="4" t="s">
        <v>77</v>
      </c>
      <c r="C29" s="53"/>
      <c r="D29" s="9">
        <v>1.7437686274509803</v>
      </c>
      <c r="E29" s="9"/>
      <c r="F29" s="9"/>
      <c r="G29" s="9"/>
      <c r="H29" s="8"/>
      <c r="I29" s="8"/>
      <c r="J29" s="8"/>
      <c r="K29" s="8"/>
      <c r="L29" s="8"/>
      <c r="M29" s="8"/>
      <c r="N29" s="2"/>
    </row>
    <row r="30" spans="2:14" ht="13.4" hidden="1" customHeight="1">
      <c r="B30" s="4" t="s">
        <v>33</v>
      </c>
      <c r="C30" s="53"/>
      <c r="D30" s="98"/>
      <c r="E30" s="98"/>
      <c r="F30" s="98"/>
      <c r="G30" s="98"/>
      <c r="H30" s="123"/>
      <c r="I30" s="8"/>
      <c r="J30" s="8"/>
      <c r="K30" s="8"/>
      <c r="L30" s="8"/>
      <c r="M30" s="8"/>
      <c r="N30" s="2"/>
    </row>
    <row r="31" spans="2:14" ht="13.4" hidden="1" customHeight="1">
      <c r="B31" s="4" t="s">
        <v>34</v>
      </c>
      <c r="C31" s="53"/>
      <c r="D31" s="98"/>
      <c r="E31" s="98"/>
      <c r="F31" s="98"/>
      <c r="G31" s="98"/>
      <c r="H31" s="123"/>
      <c r="I31" s="9"/>
      <c r="J31" s="9"/>
      <c r="K31" s="9"/>
      <c r="L31" s="9"/>
      <c r="M31" s="9"/>
      <c r="N31" s="2"/>
    </row>
    <row r="32" spans="2:14" ht="13.4" hidden="1" customHeight="1">
      <c r="B32" s="4" t="s">
        <v>57</v>
      </c>
      <c r="C32" s="53"/>
      <c r="D32" s="143"/>
      <c r="E32" s="143"/>
      <c r="F32" s="143"/>
      <c r="G32" s="143"/>
      <c r="H32" s="123"/>
      <c r="I32" s="71"/>
      <c r="J32" s="71"/>
      <c r="K32" s="71"/>
      <c r="L32" s="71"/>
      <c r="M32" s="71"/>
      <c r="N32" s="74"/>
    </row>
    <row r="33" spans="2:14">
      <c r="B33" s="55" t="s">
        <v>58</v>
      </c>
      <c r="C33" s="56"/>
      <c r="D33" s="33">
        <v>84</v>
      </c>
      <c r="E33" s="33"/>
      <c r="F33" s="33"/>
      <c r="G33" s="33"/>
      <c r="H33" s="33"/>
      <c r="I33" s="33"/>
      <c r="J33" s="33"/>
      <c r="K33" s="33"/>
      <c r="L33" s="33"/>
      <c r="M33" s="33"/>
      <c r="N33" s="43"/>
    </row>
    <row r="34" spans="2:14" ht="3.25" customHeight="1">
      <c r="B34" s="56"/>
      <c r="C34" s="5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2:14">
      <c r="B35" s="55" t="s">
        <v>21</v>
      </c>
      <c r="C35" s="5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2:14">
      <c r="B36" s="63" t="s">
        <v>68</v>
      </c>
      <c r="C36" s="57"/>
      <c r="D36" s="9" t="s">
        <v>24</v>
      </c>
      <c r="E36" s="66"/>
      <c r="F36" s="9"/>
      <c r="G36" s="9"/>
      <c r="H36" s="9"/>
      <c r="I36" s="9"/>
      <c r="J36" s="9"/>
      <c r="K36" s="9"/>
      <c r="L36" s="9"/>
      <c r="M36" s="9"/>
      <c r="N36" s="2"/>
    </row>
    <row r="37" spans="2:14">
      <c r="B37" s="63" t="s">
        <v>69</v>
      </c>
      <c r="C37" s="57"/>
      <c r="D37" s="9"/>
      <c r="E37" s="66"/>
      <c r="F37" s="9"/>
      <c r="G37" s="9"/>
      <c r="H37" s="9"/>
      <c r="I37" s="9"/>
      <c r="J37" s="9"/>
      <c r="K37" s="9"/>
      <c r="L37" s="9"/>
      <c r="M37" s="9"/>
      <c r="N37" s="2"/>
    </row>
    <row r="38" spans="2:14" ht="3.25" customHeight="1">
      <c r="B38" s="57"/>
      <c r="C38" s="57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2:14">
      <c r="B39" s="55" t="s">
        <v>35</v>
      </c>
      <c r="C39" s="56"/>
      <c r="D39" s="9">
        <v>89</v>
      </c>
      <c r="E39" s="66"/>
      <c r="F39" s="9"/>
      <c r="G39" s="9"/>
      <c r="H39" s="9"/>
      <c r="I39" s="9"/>
      <c r="J39" s="9"/>
      <c r="K39" s="9"/>
      <c r="L39" s="9"/>
      <c r="M39" s="9"/>
      <c r="N39" s="2"/>
    </row>
    <row r="40" spans="2:14" ht="3.25" customHeight="1">
      <c r="B40" s="56"/>
      <c r="C40" s="5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2:14">
      <c r="B41" s="55" t="s">
        <v>60</v>
      </c>
      <c r="C41" s="56"/>
      <c r="D41" s="9">
        <v>138.53</v>
      </c>
      <c r="E41" s="66"/>
      <c r="F41" s="9"/>
      <c r="G41" s="9"/>
      <c r="H41" s="9"/>
      <c r="I41" s="9"/>
      <c r="J41" s="9"/>
      <c r="K41" s="9"/>
      <c r="L41" s="9"/>
      <c r="M41" s="9"/>
      <c r="N41" s="2"/>
    </row>
    <row r="42" spans="2:14" ht="3.25" customHeight="1">
      <c r="B42" s="56"/>
      <c r="C42" s="5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2:14" hidden="1">
      <c r="B43" s="55" t="s">
        <v>37</v>
      </c>
      <c r="C43" s="56"/>
      <c r="D43" s="98"/>
      <c r="E43" s="142"/>
      <c r="F43" s="98"/>
      <c r="G43" s="98"/>
      <c r="H43" s="98"/>
      <c r="I43" s="9"/>
      <c r="J43" s="9"/>
      <c r="K43" s="9"/>
      <c r="L43" s="9"/>
      <c r="M43" s="9"/>
      <c r="N43" s="2"/>
    </row>
    <row r="44" spans="2:14" ht="3.25" customHeight="1">
      <c r="B44" s="56"/>
      <c r="C44" s="5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2:14">
      <c r="B45" s="55" t="s">
        <v>62</v>
      </c>
      <c r="C45" s="56"/>
      <c r="D45" s="95">
        <v>9277</v>
      </c>
      <c r="E45" s="95"/>
      <c r="F45" s="95"/>
      <c r="G45" s="95"/>
      <c r="H45" s="95"/>
      <c r="I45" s="69"/>
      <c r="J45" s="69"/>
      <c r="K45" s="69"/>
      <c r="L45" s="69"/>
      <c r="M45" s="69"/>
      <c r="N45" s="73"/>
    </row>
    <row r="46" spans="2:14" ht="3.25" customHeight="1">
      <c r="B46" s="56"/>
      <c r="C46" s="5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2:14">
      <c r="B47" s="55" t="s">
        <v>65</v>
      </c>
      <c r="C47" s="56"/>
      <c r="D47" s="33">
        <v>216</v>
      </c>
      <c r="E47" s="65"/>
      <c r="F47" s="33"/>
      <c r="G47" s="33"/>
      <c r="H47" s="33"/>
      <c r="I47" s="70"/>
      <c r="J47" s="70"/>
      <c r="K47" s="70"/>
      <c r="L47" s="70"/>
      <c r="M47" s="70"/>
      <c r="N47" s="75"/>
    </row>
    <row r="48" spans="2:14" ht="3.25" customHeight="1">
      <c r="B48" s="56"/>
      <c r="C48" s="5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2:16">
      <c r="B49" s="55" t="s">
        <v>70</v>
      </c>
      <c r="C49" s="56"/>
      <c r="D49" s="33" t="s">
        <v>24</v>
      </c>
      <c r="E49" s="65"/>
      <c r="F49" s="33"/>
      <c r="G49" s="33"/>
      <c r="H49" s="33"/>
      <c r="I49" s="70"/>
      <c r="J49" s="70"/>
      <c r="K49" s="70"/>
      <c r="L49" s="70"/>
      <c r="M49" s="70"/>
      <c r="N49" s="75"/>
    </row>
    <row r="50" spans="2:16" ht="4" customHeight="1">
      <c r="O50" s="43"/>
      <c r="P50" s="1"/>
    </row>
    <row r="51" spans="2:16">
      <c r="B51" s="55" t="s">
        <v>73</v>
      </c>
      <c r="C51" s="56"/>
      <c r="D51" s="33" t="s">
        <v>24</v>
      </c>
      <c r="E51" s="65"/>
      <c r="F51" s="33"/>
      <c r="G51" s="33"/>
      <c r="H51" s="33"/>
      <c r="I51" s="70"/>
      <c r="J51" s="70"/>
      <c r="K51" s="70"/>
      <c r="L51" s="70"/>
      <c r="M51" s="70"/>
      <c r="N51" s="75"/>
    </row>
    <row r="52" spans="2:16">
      <c r="B52" s="64" t="s">
        <v>28</v>
      </c>
      <c r="O52" s="43"/>
      <c r="P52" s="1"/>
    </row>
    <row r="53" spans="2:16" ht="13.5">
      <c r="B53" s="64" t="s">
        <v>31</v>
      </c>
      <c r="O53" s="43"/>
      <c r="P53" s="1"/>
    </row>
    <row r="54" spans="2:16">
      <c r="B54" s="64" t="s">
        <v>55</v>
      </c>
      <c r="O54" s="43"/>
      <c r="P54" s="1"/>
    </row>
    <row r="55" spans="2:16">
      <c r="B55" s="64" t="s">
        <v>32</v>
      </c>
      <c r="O55" s="43"/>
      <c r="P55" s="1"/>
    </row>
    <row r="56" spans="2:16">
      <c r="B56" s="64" t="s">
        <v>66</v>
      </c>
      <c r="O56" s="43"/>
      <c r="P56" s="1"/>
    </row>
    <row r="57" spans="2:16" ht="13.5">
      <c r="B57" s="64" t="s">
        <v>59</v>
      </c>
      <c r="O57" s="43"/>
      <c r="P57" s="1"/>
    </row>
    <row r="58" spans="2:16">
      <c r="B58" s="64" t="s">
        <v>61</v>
      </c>
    </row>
    <row r="59" spans="2:16">
      <c r="B59" s="64" t="s">
        <v>63</v>
      </c>
    </row>
    <row r="60" spans="2:16">
      <c r="B60" s="64" t="s">
        <v>64</v>
      </c>
    </row>
    <row r="61" spans="2:16">
      <c r="B61" s="64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M213"/>
  <sheetViews>
    <sheetView zoomScale="104" zoomScaleNormal="104" workbookViewId="0">
      <pane ySplit="8" topLeftCell="A172" activePane="bottomLeft" state="frozen"/>
      <selection pane="bottomLeft" activeCell="M9" sqref="M9"/>
    </sheetView>
  </sheetViews>
  <sheetFormatPr baseColWidth="10" defaultColWidth="11.453125" defaultRowHeight="10"/>
  <cols>
    <col min="1" max="1" width="3.453125" style="1" customWidth="1"/>
    <col min="2" max="2" width="6.54296875" style="1" customWidth="1"/>
    <col min="3" max="3" width="25.453125" style="1" customWidth="1"/>
    <col min="4" max="4" width="16.453125" style="1" customWidth="1"/>
    <col min="5" max="5" width="5.54296875" style="1" customWidth="1"/>
    <col min="6" max="6" width="6.453125" style="1" customWidth="1"/>
    <col min="7" max="7" width="7.54296875" style="1" customWidth="1"/>
    <col min="8" max="8" width="5.54296875" style="1" customWidth="1"/>
    <col min="9" max="9" width="0.81640625" style="1" customWidth="1"/>
    <col min="10" max="10" width="7" style="36" customWidth="1"/>
    <col min="11" max="11" width="5.54296875" style="1" customWidth="1"/>
    <col min="12" max="12" width="6.26953125" style="1" customWidth="1"/>
    <col min="13" max="13" width="19.54296875" style="125" customWidth="1"/>
    <col min="14" max="16384" width="11.453125" style="1"/>
  </cols>
  <sheetData>
    <row r="1" spans="2:13" ht="5.5" customHeight="1"/>
    <row r="2" spans="2:13" ht="4.5" customHeight="1"/>
    <row r="3" spans="2:13" ht="3" customHeight="1">
      <c r="C3" s="44"/>
    </row>
    <row r="4" spans="2:13" ht="10.5">
      <c r="C4" s="44"/>
      <c r="F4" s="154"/>
      <c r="G4" s="154"/>
      <c r="H4" s="154"/>
      <c r="J4" s="160"/>
      <c r="K4" s="160"/>
      <c r="L4" s="160"/>
    </row>
    <row r="5" spans="2:13" ht="10.5">
      <c r="F5" s="155"/>
      <c r="G5" s="155"/>
      <c r="H5" s="155"/>
      <c r="J5" s="161"/>
      <c r="K5" s="161"/>
      <c r="L5" s="161"/>
    </row>
    <row r="6" spans="2:13" ht="12.75" customHeight="1">
      <c r="C6" s="44"/>
      <c r="F6" s="156"/>
      <c r="G6" s="156"/>
      <c r="H6" s="156"/>
      <c r="J6" s="157"/>
      <c r="K6" s="157"/>
      <c r="L6" s="157"/>
    </row>
    <row r="7" spans="2:13" ht="5" customHeight="1">
      <c r="J7" s="34"/>
      <c r="K7" s="2"/>
      <c r="L7" s="27"/>
    </row>
    <row r="8" spans="2:13" s="3" customFormat="1" ht="70.5" customHeight="1">
      <c r="B8" s="6" t="s">
        <v>1</v>
      </c>
      <c r="C8" s="6" t="s">
        <v>0</v>
      </c>
      <c r="D8" s="6"/>
      <c r="E8" s="158"/>
      <c r="F8" s="159"/>
      <c r="G8" s="96"/>
      <c r="H8" s="7"/>
      <c r="I8" s="24"/>
      <c r="J8" s="35"/>
      <c r="K8" s="28"/>
      <c r="L8" s="29" t="s">
        <v>9</v>
      </c>
      <c r="M8" s="24"/>
    </row>
    <row r="10" spans="2:13" ht="13">
      <c r="B10" s="147" t="s">
        <v>15</v>
      </c>
      <c r="C10" s="147"/>
    </row>
    <row r="12" spans="2:13" ht="10.5">
      <c r="B12" s="146" t="s">
        <v>36</v>
      </c>
      <c r="C12" s="21" t="s">
        <v>2</v>
      </c>
      <c r="D12" s="18"/>
      <c r="E12" s="45"/>
      <c r="F12" s="45"/>
      <c r="G12" s="45"/>
      <c r="H12" s="19"/>
      <c r="J12" s="37"/>
      <c r="K12" s="30"/>
      <c r="L12" s="31"/>
    </row>
    <row r="13" spans="2:13">
      <c r="B13" s="146"/>
      <c r="C13" s="8" t="s">
        <v>7</v>
      </c>
      <c r="D13" s="9"/>
      <c r="E13" s="9"/>
      <c r="F13" s="9"/>
      <c r="G13" s="9"/>
      <c r="H13" s="10"/>
      <c r="I13" s="25"/>
      <c r="J13" s="32"/>
      <c r="K13" s="33"/>
      <c r="L13" s="81">
        <v>0</v>
      </c>
      <c r="M13" s="126"/>
    </row>
    <row r="14" spans="2:13">
      <c r="B14" s="146"/>
      <c r="C14" s="8" t="s">
        <v>8</v>
      </c>
      <c r="D14" s="9"/>
      <c r="E14" s="9"/>
      <c r="F14" s="9"/>
      <c r="G14" s="9"/>
      <c r="H14" s="10"/>
      <c r="I14" s="25"/>
      <c r="J14" s="32"/>
      <c r="K14" s="33"/>
      <c r="L14" s="81">
        <v>0</v>
      </c>
      <c r="M14" s="126"/>
    </row>
    <row r="15" spans="2:13">
      <c r="B15" s="146"/>
      <c r="C15" s="103" t="s">
        <v>3</v>
      </c>
      <c r="D15" s="98"/>
      <c r="E15" s="104"/>
      <c r="F15" s="104"/>
      <c r="G15" s="104"/>
      <c r="H15" s="104"/>
      <c r="I15" s="105"/>
      <c r="J15" s="101"/>
      <c r="K15" s="99"/>
      <c r="L15" s="99"/>
    </row>
    <row r="16" spans="2:13" ht="10.5">
      <c r="B16" s="146"/>
      <c r="C16" s="14"/>
      <c r="D16" s="11"/>
      <c r="E16" s="11"/>
      <c r="F16" s="11"/>
      <c r="G16" s="11"/>
      <c r="H16" s="12"/>
      <c r="I16" s="26"/>
      <c r="J16" s="38"/>
      <c r="K16" s="33"/>
      <c r="L16" s="82">
        <v>0</v>
      </c>
      <c r="M16" s="126"/>
    </row>
    <row r="17" spans="2:13">
      <c r="B17" s="146"/>
      <c r="C17" s="17"/>
      <c r="D17" s="16"/>
      <c r="E17" s="16"/>
      <c r="F17" s="16"/>
      <c r="G17" s="16"/>
      <c r="H17" s="16"/>
      <c r="I17" s="2"/>
      <c r="J17" s="39"/>
      <c r="K17" s="42"/>
      <c r="L17" s="83"/>
    </row>
    <row r="18" spans="2:13" ht="10.5">
      <c r="B18" s="146"/>
      <c r="C18" s="22" t="s">
        <v>4</v>
      </c>
      <c r="D18" s="15"/>
      <c r="E18" s="16"/>
      <c r="F18" s="16"/>
      <c r="G18" s="16"/>
      <c r="H18" s="9"/>
      <c r="I18" s="2"/>
      <c r="J18" s="39"/>
      <c r="K18" s="42"/>
      <c r="L18" s="83"/>
    </row>
    <row r="19" spans="2:13">
      <c r="B19" s="146"/>
      <c r="C19" s="97" t="s">
        <v>38</v>
      </c>
      <c r="D19" s="98"/>
      <c r="E19" s="99"/>
      <c r="F19" s="99"/>
      <c r="G19" s="99"/>
      <c r="H19" s="98"/>
      <c r="I19" s="100"/>
      <c r="J19" s="101"/>
      <c r="K19" s="99"/>
      <c r="L19" s="102"/>
    </row>
    <row r="20" spans="2:13">
      <c r="B20" s="146"/>
      <c r="C20" s="8" t="s">
        <v>11</v>
      </c>
      <c r="D20" s="9"/>
      <c r="E20" s="9"/>
      <c r="F20" s="9"/>
      <c r="G20" s="9"/>
      <c r="H20" s="10"/>
      <c r="I20" s="25"/>
      <c r="J20" s="32"/>
      <c r="K20" s="33"/>
      <c r="L20" s="81">
        <v>1.666666666666667</v>
      </c>
      <c r="M20" s="126"/>
    </row>
    <row r="21" spans="2:13">
      <c r="B21" s="146"/>
      <c r="C21" s="8" t="s">
        <v>21</v>
      </c>
      <c r="D21" s="9"/>
      <c r="E21" s="9"/>
      <c r="F21" s="9"/>
      <c r="G21" s="9"/>
      <c r="H21" s="10"/>
      <c r="I21" s="25"/>
      <c r="J21" s="32"/>
      <c r="K21" s="33"/>
      <c r="L21" s="81"/>
      <c r="M21" s="126"/>
    </row>
    <row r="22" spans="2:13" ht="11.25" customHeight="1">
      <c r="B22" s="146"/>
      <c r="C22" s="8" t="s">
        <v>5</v>
      </c>
      <c r="D22" s="13"/>
      <c r="E22" s="13"/>
      <c r="F22" s="13"/>
      <c r="G22" s="13"/>
      <c r="H22" s="10"/>
      <c r="I22" s="25"/>
      <c r="J22" s="32"/>
      <c r="K22" s="33"/>
      <c r="L22" s="81">
        <v>1.666666666666667</v>
      </c>
      <c r="M22" s="126"/>
    </row>
    <row r="23" spans="2:13">
      <c r="B23" s="146"/>
      <c r="C23" s="8" t="s">
        <v>10</v>
      </c>
      <c r="D23" s="9"/>
      <c r="E23" s="9"/>
      <c r="F23" s="9"/>
      <c r="G23" s="9"/>
      <c r="H23" s="10"/>
      <c r="I23" s="25"/>
      <c r="J23" s="32"/>
      <c r="K23" s="33"/>
      <c r="L23" s="81"/>
      <c r="M23" s="126"/>
    </row>
    <row r="24" spans="2:13">
      <c r="B24" s="146"/>
      <c r="C24" s="8" t="s">
        <v>6</v>
      </c>
      <c r="D24" s="9"/>
      <c r="E24" s="9"/>
      <c r="F24" s="9"/>
      <c r="G24" s="9"/>
      <c r="H24" s="10"/>
      <c r="I24" s="25"/>
      <c r="J24" s="32"/>
      <c r="K24" s="33"/>
      <c r="L24" s="81">
        <v>1.1496472959355057</v>
      </c>
      <c r="M24" s="126"/>
    </row>
    <row r="25" spans="2:13">
      <c r="B25" s="146"/>
      <c r="C25" s="8" t="s">
        <v>16</v>
      </c>
      <c r="D25" s="9"/>
      <c r="E25" s="9"/>
      <c r="F25" s="9"/>
      <c r="G25" s="9"/>
      <c r="H25" s="10"/>
      <c r="I25" s="25"/>
      <c r="J25" s="32"/>
      <c r="K25" s="33"/>
      <c r="L25" s="81"/>
      <c r="M25" s="126"/>
    </row>
    <row r="26" spans="2:13" ht="10.5">
      <c r="D26" s="11"/>
      <c r="E26" s="11"/>
      <c r="F26" s="11"/>
      <c r="G26" s="11"/>
      <c r="H26" s="12"/>
      <c r="I26" s="26"/>
      <c r="J26" s="40"/>
      <c r="K26" s="47"/>
      <c r="L26" s="84">
        <v>4.4829806292688392</v>
      </c>
      <c r="M26" s="127"/>
    </row>
    <row r="27" spans="2:13" ht="10.5">
      <c r="D27" s="4"/>
      <c r="E27" s="4"/>
      <c r="F27" s="4"/>
      <c r="G27" s="4"/>
      <c r="H27" s="5"/>
      <c r="I27" s="5"/>
      <c r="J27" s="41"/>
      <c r="K27" s="2"/>
      <c r="L27" s="85"/>
      <c r="M27" s="127"/>
    </row>
    <row r="28" spans="2:13" ht="12.75" customHeight="1">
      <c r="D28" s="23"/>
      <c r="E28" s="4"/>
      <c r="F28" s="4"/>
      <c r="G28" s="4"/>
      <c r="K28" s="20"/>
      <c r="L28" s="86">
        <v>4.4829806292688392</v>
      </c>
    </row>
    <row r="29" spans="2:13" ht="12.75" customHeight="1">
      <c r="L29" s="85">
        <v>0</v>
      </c>
    </row>
    <row r="30" spans="2:13">
      <c r="L30" s="50"/>
    </row>
    <row r="31" spans="2:13" ht="10.5">
      <c r="B31" s="146" t="s">
        <v>13</v>
      </c>
      <c r="C31" s="21" t="s">
        <v>2</v>
      </c>
      <c r="D31" s="18"/>
      <c r="E31" s="45"/>
      <c r="F31" s="45"/>
      <c r="G31" s="45"/>
      <c r="H31" s="19"/>
      <c r="J31" s="37"/>
      <c r="K31" s="30"/>
      <c r="L31" s="51"/>
    </row>
    <row r="32" spans="2:13">
      <c r="B32" s="146"/>
      <c r="C32" s="8" t="s">
        <v>7</v>
      </c>
      <c r="D32" s="9"/>
      <c r="E32" s="9"/>
      <c r="F32" s="9"/>
      <c r="G32" s="9"/>
      <c r="H32" s="10"/>
      <c r="I32" s="25"/>
      <c r="J32" s="32"/>
      <c r="K32" s="33"/>
      <c r="L32" s="87">
        <v>1.7320261437908497</v>
      </c>
      <c r="M32" s="128"/>
    </row>
    <row r="33" spans="2:13">
      <c r="B33" s="146"/>
      <c r="C33" s="8" t="s">
        <v>8</v>
      </c>
      <c r="D33" s="9"/>
      <c r="E33" s="9"/>
      <c r="G33" s="9"/>
      <c r="H33" s="10"/>
      <c r="I33" s="25"/>
      <c r="J33" s="32"/>
      <c r="K33" s="33"/>
      <c r="L33" s="87">
        <v>1.2565982660980215</v>
      </c>
      <c r="M33" s="128"/>
    </row>
    <row r="34" spans="2:13">
      <c r="B34" s="146"/>
      <c r="C34" s="103" t="s">
        <v>3</v>
      </c>
      <c r="D34" s="98"/>
      <c r="E34" s="104"/>
      <c r="F34" s="104"/>
      <c r="G34" s="104"/>
      <c r="H34" s="104"/>
      <c r="I34" s="105"/>
      <c r="J34" s="101"/>
      <c r="K34" s="99"/>
      <c r="L34" s="99"/>
      <c r="M34" s="128"/>
    </row>
    <row r="35" spans="2:13" ht="10.5">
      <c r="B35" s="146"/>
      <c r="C35" s="14"/>
      <c r="D35" s="11"/>
      <c r="E35" s="11"/>
      <c r="F35" s="11"/>
      <c r="G35" s="11"/>
      <c r="H35" s="12"/>
      <c r="I35" s="26"/>
      <c r="J35" s="38"/>
      <c r="K35" s="33"/>
      <c r="L35" s="82">
        <v>2.988624409888871</v>
      </c>
      <c r="M35" s="129"/>
    </row>
    <row r="36" spans="2:13">
      <c r="B36" s="146"/>
      <c r="C36" s="17"/>
      <c r="D36" s="16"/>
      <c r="E36" s="16"/>
      <c r="F36" s="16"/>
      <c r="G36" s="16"/>
      <c r="H36" s="16"/>
      <c r="I36" s="2"/>
      <c r="J36" s="39"/>
      <c r="K36" s="16"/>
      <c r="L36" s="83"/>
    </row>
    <row r="37" spans="2:13" ht="10.5">
      <c r="B37" s="146"/>
      <c r="C37" s="22" t="s">
        <v>4</v>
      </c>
      <c r="D37" s="15"/>
      <c r="E37" s="16"/>
      <c r="F37" s="16"/>
      <c r="G37" s="16"/>
      <c r="H37" s="16"/>
      <c r="I37" s="2"/>
      <c r="J37" s="39"/>
      <c r="K37" s="16"/>
      <c r="L37" s="83"/>
    </row>
    <row r="38" spans="2:13">
      <c r="B38" s="146"/>
      <c r="C38" s="97" t="s">
        <v>38</v>
      </c>
      <c r="D38" s="98"/>
      <c r="E38" s="99"/>
      <c r="F38" s="99"/>
      <c r="G38" s="99"/>
      <c r="H38" s="98"/>
      <c r="I38" s="100"/>
      <c r="J38" s="101"/>
      <c r="K38" s="99"/>
      <c r="L38" s="102"/>
    </row>
    <row r="39" spans="2:13">
      <c r="B39" s="146"/>
      <c r="C39" s="8" t="s">
        <v>11</v>
      </c>
      <c r="D39" s="9"/>
      <c r="E39" s="9"/>
      <c r="F39" s="9"/>
      <c r="G39" s="9"/>
      <c r="H39" s="10"/>
      <c r="I39" s="25"/>
      <c r="J39" s="32"/>
      <c r="K39" s="33"/>
      <c r="L39" s="87">
        <v>1.666666666666667</v>
      </c>
      <c r="M39" s="128"/>
    </row>
    <row r="40" spans="2:13">
      <c r="B40" s="146"/>
      <c r="C40" s="8" t="s">
        <v>21</v>
      </c>
      <c r="D40" s="9"/>
      <c r="E40" s="9"/>
      <c r="F40" s="9"/>
      <c r="G40" s="9"/>
      <c r="H40" s="10"/>
      <c r="I40" s="25"/>
      <c r="J40" s="32"/>
      <c r="K40" s="33"/>
      <c r="L40" s="87"/>
      <c r="M40" s="128"/>
    </row>
    <row r="41" spans="2:13" ht="11.25" customHeight="1">
      <c r="B41" s="146"/>
      <c r="C41" s="8" t="s">
        <v>5</v>
      </c>
      <c r="D41" s="13"/>
      <c r="E41" s="13"/>
      <c r="F41" s="13"/>
      <c r="G41" s="13"/>
      <c r="H41" s="10"/>
      <c r="I41" s="25"/>
      <c r="J41" s="32"/>
      <c r="K41" s="33"/>
      <c r="L41" s="87">
        <v>1.666666666666667</v>
      </c>
      <c r="M41" s="128"/>
    </row>
    <row r="42" spans="2:13">
      <c r="B42" s="146"/>
      <c r="C42" s="8" t="s">
        <v>10</v>
      </c>
      <c r="D42" s="9"/>
      <c r="E42" s="9"/>
      <c r="F42" s="9"/>
      <c r="G42" s="9"/>
      <c r="H42" s="10"/>
      <c r="I42" s="25"/>
      <c r="J42" s="32"/>
      <c r="K42" s="33"/>
      <c r="L42" s="87"/>
      <c r="M42" s="128"/>
    </row>
    <row r="43" spans="2:13">
      <c r="B43" s="146"/>
      <c r="C43" s="8" t="s">
        <v>6</v>
      </c>
      <c r="D43" s="9"/>
      <c r="E43" s="9"/>
      <c r="F43" s="9"/>
      <c r="G43" s="9"/>
      <c r="H43" s="10"/>
      <c r="I43" s="25"/>
      <c r="J43" s="32"/>
      <c r="K43" s="33"/>
      <c r="L43" s="87">
        <v>1.666666666666667</v>
      </c>
      <c r="M43" s="128"/>
    </row>
    <row r="44" spans="2:13">
      <c r="B44" s="146"/>
      <c r="C44" s="8" t="s">
        <v>16</v>
      </c>
      <c r="D44" s="9"/>
      <c r="E44" s="9"/>
      <c r="F44" s="9"/>
      <c r="G44" s="9"/>
      <c r="H44" s="10"/>
      <c r="I44" s="25"/>
      <c r="J44" s="32"/>
      <c r="K44" s="33"/>
      <c r="L44" s="87"/>
      <c r="M44" s="128"/>
    </row>
    <row r="45" spans="2:13" ht="10.5">
      <c r="D45" s="11"/>
      <c r="E45" s="11"/>
      <c r="F45" s="11"/>
      <c r="G45" s="11"/>
      <c r="H45" s="12"/>
      <c r="I45" s="26"/>
      <c r="J45" s="40"/>
      <c r="K45" s="47"/>
      <c r="L45" s="84">
        <v>5.0000000000000009</v>
      </c>
      <c r="M45" s="129"/>
    </row>
    <row r="46" spans="2:13" ht="10.5">
      <c r="D46" s="4"/>
      <c r="E46" s="4"/>
      <c r="F46" s="4"/>
      <c r="G46" s="4"/>
      <c r="H46" s="5"/>
      <c r="I46" s="5"/>
      <c r="J46" s="41"/>
      <c r="K46" s="43"/>
      <c r="L46" s="85"/>
      <c r="M46" s="127"/>
    </row>
    <row r="47" spans="2:13" ht="12.75" customHeight="1">
      <c r="D47" s="23"/>
      <c r="E47" s="4"/>
      <c r="F47" s="4"/>
      <c r="G47" s="4"/>
      <c r="K47" s="48"/>
      <c r="L47" s="86">
        <v>7.9886244098888719</v>
      </c>
    </row>
    <row r="48" spans="2:13" ht="12.75" customHeight="1">
      <c r="L48" s="85">
        <v>7.9886244098888719</v>
      </c>
    </row>
    <row r="49" spans="2:13">
      <c r="L49" s="80"/>
    </row>
    <row r="50" spans="2:13" ht="10.5">
      <c r="B50" s="146" t="s">
        <v>12</v>
      </c>
      <c r="C50" s="21" t="s">
        <v>2</v>
      </c>
      <c r="D50" s="18"/>
      <c r="E50" s="45"/>
      <c r="F50" s="45"/>
      <c r="G50" s="45"/>
      <c r="H50" s="19"/>
      <c r="J50" s="37"/>
      <c r="K50" s="30"/>
      <c r="L50" s="88"/>
    </row>
    <row r="51" spans="2:13">
      <c r="B51" s="146"/>
      <c r="C51" s="8" t="s">
        <v>7</v>
      </c>
      <c r="D51" s="9"/>
      <c r="E51" s="9"/>
      <c r="F51" s="9"/>
      <c r="G51" s="9"/>
      <c r="H51" s="10"/>
      <c r="I51" s="25"/>
      <c r="J51" s="32"/>
      <c r="K51" s="33"/>
      <c r="L51" s="87">
        <v>1.2166666666666666</v>
      </c>
      <c r="M51" s="128"/>
    </row>
    <row r="52" spans="2:13">
      <c r="B52" s="146"/>
      <c r="C52" s="8" t="s">
        <v>8</v>
      </c>
      <c r="D52" s="9"/>
      <c r="E52" s="9"/>
      <c r="F52" s="9"/>
      <c r="G52" s="9"/>
      <c r="H52" s="10"/>
      <c r="I52" s="25"/>
      <c r="J52" s="32"/>
      <c r="K52" s="33"/>
      <c r="L52" s="87">
        <v>1.4543269230769231</v>
      </c>
      <c r="M52" s="128"/>
    </row>
    <row r="53" spans="2:13">
      <c r="B53" s="146"/>
      <c r="C53" s="103" t="s">
        <v>3</v>
      </c>
      <c r="D53" s="98"/>
      <c r="E53" s="104"/>
      <c r="F53" s="104"/>
      <c r="G53" s="104"/>
      <c r="H53" s="104"/>
      <c r="I53" s="105"/>
      <c r="J53" s="101"/>
      <c r="K53" s="99"/>
      <c r="L53" s="102"/>
      <c r="M53" s="128"/>
    </row>
    <row r="54" spans="2:13" ht="10.5">
      <c r="B54" s="146"/>
      <c r="C54" s="14"/>
      <c r="D54" s="11"/>
      <c r="E54" s="11"/>
      <c r="F54" s="11"/>
      <c r="G54" s="11"/>
      <c r="H54" s="12"/>
      <c r="I54" s="26"/>
      <c r="J54" s="38"/>
      <c r="K54" s="33"/>
      <c r="L54" s="82">
        <v>2.6709935897435897</v>
      </c>
      <c r="M54" s="129"/>
    </row>
    <row r="55" spans="2:13">
      <c r="B55" s="146"/>
      <c r="C55" s="17"/>
      <c r="D55" s="16"/>
      <c r="E55" s="16"/>
      <c r="F55" s="16"/>
      <c r="G55" s="16"/>
      <c r="H55" s="16"/>
      <c r="I55" s="2"/>
      <c r="J55" s="39"/>
      <c r="K55" s="42"/>
      <c r="L55" s="83"/>
    </row>
    <row r="56" spans="2:13" ht="10.5">
      <c r="B56" s="146"/>
      <c r="C56" s="22" t="s">
        <v>4</v>
      </c>
      <c r="D56" s="15"/>
      <c r="E56" s="16"/>
      <c r="F56" s="16"/>
      <c r="G56" s="16"/>
      <c r="H56" s="16"/>
      <c r="I56" s="2"/>
      <c r="J56" s="39"/>
      <c r="K56" s="42"/>
      <c r="L56" s="83"/>
    </row>
    <row r="57" spans="2:13">
      <c r="B57" s="146"/>
      <c r="C57" s="97" t="s">
        <v>38</v>
      </c>
      <c r="D57" s="98"/>
      <c r="E57" s="99"/>
      <c r="F57" s="99"/>
      <c r="G57" s="99"/>
      <c r="H57" s="98"/>
      <c r="I57" s="100"/>
      <c r="J57" s="101"/>
      <c r="K57" s="99"/>
      <c r="L57" s="102"/>
    </row>
    <row r="58" spans="2:13">
      <c r="B58" s="146"/>
      <c r="C58" s="8" t="s">
        <v>11</v>
      </c>
      <c r="D58" s="9"/>
      <c r="E58" s="9"/>
      <c r="F58" s="9"/>
      <c r="G58" s="9"/>
      <c r="H58" s="10"/>
      <c r="I58" s="25"/>
      <c r="J58" s="32"/>
      <c r="K58" s="33"/>
      <c r="L58" s="87">
        <v>1</v>
      </c>
      <c r="M58" s="128"/>
    </row>
    <row r="59" spans="2:13">
      <c r="B59" s="146"/>
      <c r="C59" s="8" t="s">
        <v>67</v>
      </c>
      <c r="D59" s="9"/>
      <c r="E59" s="9"/>
      <c r="F59" s="9"/>
      <c r="G59" s="9"/>
      <c r="H59" s="10"/>
      <c r="I59" s="25"/>
      <c r="J59" s="32"/>
      <c r="K59" s="33"/>
      <c r="L59" s="87">
        <v>2</v>
      </c>
      <c r="M59" s="128"/>
    </row>
    <row r="60" spans="2:13" ht="11.25" customHeight="1">
      <c r="B60" s="146"/>
      <c r="C60" s="8" t="s">
        <v>5</v>
      </c>
      <c r="D60" s="13"/>
      <c r="E60" s="13"/>
      <c r="F60" s="13"/>
      <c r="G60" s="13"/>
      <c r="H60" s="10"/>
      <c r="I60" s="25"/>
      <c r="J60" s="32"/>
      <c r="K60" s="33"/>
      <c r="L60" s="87"/>
      <c r="M60" s="128"/>
    </row>
    <row r="61" spans="2:13">
      <c r="B61" s="146"/>
      <c r="C61" s="8" t="s">
        <v>10</v>
      </c>
      <c r="D61" s="9"/>
      <c r="E61" s="9"/>
      <c r="F61" s="9"/>
      <c r="G61" s="9"/>
      <c r="H61" s="10"/>
      <c r="I61" s="25"/>
      <c r="J61" s="32"/>
      <c r="K61" s="33"/>
      <c r="L61" s="87"/>
      <c r="M61" s="128"/>
    </row>
    <row r="62" spans="2:13">
      <c r="B62" s="146"/>
      <c r="C62" s="8" t="s">
        <v>6</v>
      </c>
      <c r="D62" s="9"/>
      <c r="E62" s="9"/>
      <c r="F62" s="9"/>
      <c r="G62" s="9"/>
      <c r="H62" s="10"/>
      <c r="I62" s="25"/>
      <c r="J62" s="32"/>
      <c r="K62" s="33"/>
      <c r="L62" s="87">
        <v>1</v>
      </c>
      <c r="M62" s="128"/>
    </row>
    <row r="63" spans="2:13">
      <c r="B63" s="146"/>
      <c r="C63" s="8" t="s">
        <v>16</v>
      </c>
      <c r="D63" s="9"/>
      <c r="E63" s="9"/>
      <c r="F63" s="9"/>
      <c r="G63" s="9"/>
      <c r="H63" s="10"/>
      <c r="I63" s="25"/>
      <c r="J63" s="32"/>
      <c r="K63" s="33"/>
      <c r="L63" s="87">
        <v>1</v>
      </c>
      <c r="M63" s="128"/>
    </row>
    <row r="64" spans="2:13" ht="10.5">
      <c r="D64" s="11"/>
      <c r="E64" s="11"/>
      <c r="F64" s="11"/>
      <c r="G64" s="11"/>
      <c r="H64" s="12"/>
      <c r="I64" s="26"/>
      <c r="J64" s="40"/>
      <c r="K64" s="47"/>
      <c r="L64" s="84">
        <v>5</v>
      </c>
      <c r="M64" s="129"/>
    </row>
    <row r="65" spans="2:13" ht="10.5">
      <c r="D65" s="4"/>
      <c r="E65" s="4"/>
      <c r="F65" s="4"/>
      <c r="G65" s="4"/>
      <c r="H65" s="5"/>
      <c r="I65" s="5"/>
      <c r="J65" s="41"/>
      <c r="K65" s="43"/>
      <c r="L65" s="85"/>
      <c r="M65" s="127"/>
    </row>
    <row r="66" spans="2:13" ht="12.75" customHeight="1">
      <c r="D66" s="23"/>
      <c r="E66" s="4"/>
      <c r="F66" s="4"/>
      <c r="G66" s="4"/>
      <c r="K66" s="48"/>
      <c r="L66" s="86">
        <v>7.6709935897435901</v>
      </c>
    </row>
    <row r="67" spans="2:13" ht="12.75" customHeight="1">
      <c r="L67" s="85">
        <v>7.6709935897435901</v>
      </c>
    </row>
    <row r="68" spans="2:13">
      <c r="L68" s="80"/>
    </row>
    <row r="69" spans="2:13" ht="13">
      <c r="B69" s="153" t="s">
        <v>14</v>
      </c>
      <c r="C69" s="153"/>
      <c r="L69" s="80"/>
    </row>
    <row r="70" spans="2:13">
      <c r="L70" s="80"/>
    </row>
    <row r="71" spans="2:13" ht="11.25" customHeight="1">
      <c r="B71" s="146" t="s">
        <v>53</v>
      </c>
      <c r="C71" s="21" t="s">
        <v>2</v>
      </c>
      <c r="D71" s="18"/>
      <c r="E71" s="45"/>
      <c r="F71" s="45"/>
      <c r="G71" s="45"/>
      <c r="H71" s="19"/>
      <c r="J71" s="37"/>
      <c r="K71" s="30"/>
      <c r="L71" s="88"/>
    </row>
    <row r="72" spans="2:13">
      <c r="B72" s="146"/>
      <c r="C72" s="8" t="s">
        <v>7</v>
      </c>
      <c r="D72" s="9"/>
      <c r="E72" s="9"/>
      <c r="F72" s="9"/>
      <c r="G72" s="9"/>
      <c r="H72" s="10"/>
      <c r="I72" s="25"/>
      <c r="J72" s="32"/>
      <c r="K72" s="33"/>
      <c r="L72" s="87">
        <v>2.2640306122448979</v>
      </c>
      <c r="M72" s="128"/>
    </row>
    <row r="73" spans="2:13" ht="10" customHeight="1">
      <c r="B73" s="146"/>
      <c r="C73" s="8" t="s">
        <v>8</v>
      </c>
      <c r="D73" s="109"/>
      <c r="E73" s="107"/>
      <c r="F73" s="9"/>
      <c r="G73" s="9"/>
      <c r="H73" s="10"/>
      <c r="I73" s="25"/>
      <c r="J73" s="32"/>
      <c r="K73" s="33"/>
      <c r="L73" s="87">
        <v>1.2507858939186101</v>
      </c>
      <c r="M73" s="128"/>
    </row>
    <row r="74" spans="2:13">
      <c r="B74" s="146"/>
      <c r="C74" s="103" t="s">
        <v>3</v>
      </c>
      <c r="D74" s="131"/>
      <c r="E74" s="98"/>
      <c r="F74" s="98"/>
      <c r="G74" s="98"/>
      <c r="H74" s="104"/>
      <c r="I74" s="105"/>
      <c r="J74" s="101"/>
      <c r="K74" s="99"/>
      <c r="L74" s="99"/>
      <c r="M74" s="128"/>
    </row>
    <row r="75" spans="2:13" ht="10.5">
      <c r="B75" s="146"/>
      <c r="C75" s="14"/>
      <c r="D75" s="109"/>
      <c r="E75" s="11"/>
      <c r="F75" s="11"/>
      <c r="G75" s="11"/>
      <c r="H75" s="12"/>
      <c r="I75" s="26"/>
      <c r="J75" s="38"/>
      <c r="K75" s="33"/>
      <c r="L75" s="82">
        <v>3.5148165061635082</v>
      </c>
      <c r="M75" s="129"/>
    </row>
    <row r="76" spans="2:13">
      <c r="B76" s="146"/>
      <c r="C76" s="17"/>
      <c r="D76" s="109"/>
      <c r="E76" s="16"/>
      <c r="F76" s="16"/>
      <c r="G76" s="16"/>
      <c r="H76" s="16"/>
      <c r="I76" s="2"/>
      <c r="J76" s="39"/>
      <c r="K76" s="42"/>
      <c r="L76" s="83"/>
    </row>
    <row r="77" spans="2:13" ht="10.5">
      <c r="B77" s="146"/>
      <c r="C77" s="22" t="s">
        <v>4</v>
      </c>
      <c r="D77" s="109"/>
      <c r="E77" s="16"/>
      <c r="F77" s="16"/>
      <c r="G77" s="16"/>
      <c r="H77" s="16"/>
      <c r="I77" s="2"/>
      <c r="J77" s="39"/>
      <c r="K77" s="42"/>
      <c r="L77" s="83"/>
    </row>
    <row r="78" spans="2:13">
      <c r="B78" s="146"/>
      <c r="C78" s="97" t="s">
        <v>38</v>
      </c>
      <c r="D78" s="131"/>
      <c r="E78" s="99"/>
      <c r="F78" s="99"/>
      <c r="G78" s="99"/>
      <c r="H78" s="98"/>
      <c r="I78" s="100"/>
      <c r="J78" s="101"/>
      <c r="K78" s="99"/>
      <c r="L78" s="102"/>
    </row>
    <row r="79" spans="2:13">
      <c r="B79" s="146"/>
      <c r="C79" s="8" t="s">
        <v>11</v>
      </c>
      <c r="D79" s="109"/>
      <c r="E79" s="9"/>
      <c r="F79" s="9"/>
      <c r="G79" s="9"/>
      <c r="H79" s="10"/>
      <c r="I79" s="25"/>
      <c r="J79" s="32"/>
      <c r="K79" s="33"/>
      <c r="L79" s="87">
        <v>1</v>
      </c>
      <c r="M79" s="128"/>
    </row>
    <row r="80" spans="2:13">
      <c r="B80" s="146"/>
      <c r="C80" s="8" t="s">
        <v>21</v>
      </c>
      <c r="D80" s="9"/>
      <c r="E80" s="9"/>
      <c r="F80" s="9"/>
      <c r="G80" s="9"/>
      <c r="H80" s="10"/>
      <c r="I80" s="25"/>
      <c r="J80" s="32"/>
      <c r="K80" s="33"/>
      <c r="L80" s="87">
        <v>1</v>
      </c>
      <c r="M80" s="128"/>
    </row>
    <row r="81" spans="2:13" ht="11.25" customHeight="1">
      <c r="B81" s="146"/>
      <c r="C81" s="8" t="s">
        <v>5</v>
      </c>
      <c r="D81" s="109"/>
      <c r="E81" s="46"/>
      <c r="F81" s="46"/>
      <c r="G81" s="46"/>
      <c r="H81" s="10"/>
      <c r="I81" s="25"/>
      <c r="J81" s="32"/>
      <c r="K81" s="33"/>
      <c r="L81" s="87"/>
      <c r="M81" s="128"/>
    </row>
    <row r="82" spans="2:13">
      <c r="B82" s="146"/>
      <c r="C82" s="8" t="s">
        <v>10</v>
      </c>
      <c r="D82" s="9"/>
      <c r="E82" s="9"/>
      <c r="F82" s="9"/>
      <c r="G82" s="107"/>
      <c r="H82" s="10"/>
      <c r="I82" s="25"/>
      <c r="J82" s="32"/>
      <c r="K82" s="114"/>
      <c r="L82" s="87">
        <v>0.59313768115942034</v>
      </c>
      <c r="M82" s="128"/>
    </row>
    <row r="83" spans="2:13">
      <c r="B83" s="146"/>
      <c r="C83" s="8" t="s">
        <v>6</v>
      </c>
      <c r="D83" s="109"/>
      <c r="E83" s="9"/>
      <c r="F83" s="107"/>
      <c r="G83" s="9"/>
      <c r="H83" s="10"/>
      <c r="I83" s="25"/>
      <c r="J83" s="32"/>
      <c r="K83" s="33"/>
      <c r="L83" s="87">
        <v>1</v>
      </c>
      <c r="M83" s="128"/>
    </row>
    <row r="84" spans="2:13">
      <c r="B84" s="146"/>
      <c r="C84" s="8" t="s">
        <v>16</v>
      </c>
      <c r="D84" s="9"/>
      <c r="E84" s="9"/>
      <c r="F84" s="9"/>
      <c r="G84" s="9"/>
      <c r="H84" s="10"/>
      <c r="I84" s="25"/>
      <c r="J84" s="32"/>
      <c r="K84" s="113"/>
      <c r="L84" s="87">
        <v>0.59169550173010388</v>
      </c>
      <c r="M84" s="130"/>
    </row>
    <row r="85" spans="2:13" ht="10.5">
      <c r="D85" s="109"/>
      <c r="E85" s="11"/>
      <c r="F85" s="11"/>
      <c r="G85" s="11"/>
      <c r="H85" s="12"/>
      <c r="I85" s="26"/>
      <c r="J85" s="40"/>
      <c r="K85" s="33"/>
      <c r="L85" s="84">
        <v>4.1848331828895242</v>
      </c>
      <c r="M85" s="129"/>
    </row>
    <row r="86" spans="2:13" ht="10.5">
      <c r="D86" s="109"/>
      <c r="E86" s="4"/>
      <c r="F86" s="4"/>
      <c r="G86" s="4"/>
      <c r="H86" s="5"/>
      <c r="I86" s="5"/>
      <c r="J86" s="41"/>
      <c r="K86" s="43"/>
      <c r="L86" s="85"/>
      <c r="M86" s="127"/>
    </row>
    <row r="87" spans="2:13" ht="12.75" customHeight="1">
      <c r="D87" s="23"/>
      <c r="E87" s="4"/>
      <c r="F87" s="4"/>
      <c r="G87" s="4"/>
      <c r="K87" s="48"/>
      <c r="L87" s="86">
        <v>7.6996496890530324</v>
      </c>
    </row>
    <row r="88" spans="2:13" ht="12.75" customHeight="1">
      <c r="L88" s="85">
        <v>7.6996496890530324</v>
      </c>
    </row>
    <row r="89" spans="2:13">
      <c r="L89" s="80"/>
    </row>
    <row r="90" spans="2:13" ht="10.5">
      <c r="B90" s="146" t="s">
        <v>17</v>
      </c>
      <c r="C90" s="21" t="s">
        <v>2</v>
      </c>
      <c r="D90" s="18"/>
      <c r="E90" s="45"/>
      <c r="F90" s="45"/>
      <c r="G90" s="45"/>
      <c r="H90" s="19"/>
      <c r="J90" s="37"/>
      <c r="K90" s="30"/>
      <c r="L90" s="88"/>
    </row>
    <row r="91" spans="2:13">
      <c r="B91" s="146"/>
      <c r="C91" s="8" t="s">
        <v>7</v>
      </c>
      <c r="D91" s="9"/>
      <c r="E91" s="9"/>
      <c r="F91" s="9"/>
      <c r="G91" s="9"/>
      <c r="H91" s="10"/>
      <c r="I91" s="25"/>
      <c r="J91" s="32"/>
      <c r="K91" s="33"/>
      <c r="L91" s="87">
        <v>2.5</v>
      </c>
      <c r="M91" s="128"/>
    </row>
    <row r="92" spans="2:13">
      <c r="B92" s="146"/>
      <c r="C92" s="8" t="s">
        <v>8</v>
      </c>
      <c r="D92" s="9"/>
      <c r="E92" s="9"/>
      <c r="F92" s="9"/>
      <c r="G92" s="9"/>
      <c r="H92" s="10"/>
      <c r="I92" s="25"/>
      <c r="J92" s="32"/>
      <c r="K92" s="113"/>
      <c r="L92" s="87">
        <v>1.2617060260586319</v>
      </c>
      <c r="M92" s="128"/>
    </row>
    <row r="93" spans="2:13">
      <c r="B93" s="146"/>
      <c r="C93" s="103" t="s">
        <v>3</v>
      </c>
      <c r="D93" s="98"/>
      <c r="E93" s="98"/>
      <c r="F93" s="98"/>
      <c r="G93" s="98"/>
      <c r="H93" s="104"/>
      <c r="I93" s="105"/>
      <c r="J93" s="101"/>
      <c r="K93" s="98"/>
      <c r="L93" s="102"/>
      <c r="M93" s="128"/>
    </row>
    <row r="94" spans="2:13" ht="10.5">
      <c r="B94" s="146"/>
      <c r="C94" s="14"/>
      <c r="D94" s="11"/>
      <c r="E94" s="11"/>
      <c r="F94" s="11"/>
      <c r="G94" s="11"/>
      <c r="H94" s="12"/>
      <c r="I94" s="26"/>
      <c r="J94" s="38"/>
      <c r="K94" s="33"/>
      <c r="L94" s="82">
        <v>3.7617060260586319</v>
      </c>
      <c r="M94" s="129"/>
    </row>
    <row r="95" spans="2:13">
      <c r="B95" s="146"/>
      <c r="C95" s="17"/>
      <c r="D95" s="16"/>
      <c r="E95" s="16"/>
      <c r="F95" s="16"/>
      <c r="G95" s="16"/>
      <c r="H95" s="16"/>
      <c r="I95" s="2"/>
      <c r="J95" s="39"/>
      <c r="K95" s="16"/>
      <c r="L95" s="83"/>
    </row>
    <row r="96" spans="2:13" ht="10.5">
      <c r="B96" s="146"/>
      <c r="C96" s="22" t="s">
        <v>4</v>
      </c>
      <c r="D96" s="15"/>
      <c r="E96" s="16"/>
      <c r="F96" s="16"/>
      <c r="G96" s="16"/>
      <c r="H96" s="16"/>
      <c r="I96" s="2"/>
      <c r="J96" s="39"/>
      <c r="K96" s="16"/>
      <c r="L96" s="83"/>
    </row>
    <row r="97" spans="2:13">
      <c r="B97" s="146"/>
      <c r="C97" s="115" t="s">
        <v>38</v>
      </c>
      <c r="D97" s="110"/>
      <c r="E97" s="112"/>
      <c r="F97" s="112"/>
      <c r="G97" s="112"/>
      <c r="H97" s="110"/>
      <c r="I97" s="116"/>
      <c r="J97" s="111"/>
      <c r="K97" s="112"/>
      <c r="L97" s="117"/>
    </row>
    <row r="98" spans="2:13">
      <c r="B98" s="146"/>
      <c r="C98" s="8" t="s">
        <v>11</v>
      </c>
      <c r="D98" s="9"/>
      <c r="E98" s="9"/>
      <c r="F98" s="9"/>
      <c r="G98" s="9"/>
      <c r="H98" s="10"/>
      <c r="I98" s="25"/>
      <c r="J98" s="32"/>
      <c r="K98" s="33"/>
      <c r="L98" s="87">
        <v>0.83333333333333348</v>
      </c>
      <c r="M98" s="128"/>
    </row>
    <row r="99" spans="2:13">
      <c r="B99" s="146"/>
      <c r="C99" s="8" t="s">
        <v>21</v>
      </c>
      <c r="D99" s="9"/>
      <c r="E99" s="9"/>
      <c r="F99" s="9"/>
      <c r="G99" s="9"/>
      <c r="H99" s="10"/>
      <c r="I99" s="25"/>
      <c r="J99" s="32"/>
      <c r="K99" s="33"/>
      <c r="L99" s="87">
        <v>0.83333333333333348</v>
      </c>
      <c r="M99" s="128"/>
    </row>
    <row r="100" spans="2:13" ht="11.25" customHeight="1">
      <c r="B100" s="146"/>
      <c r="C100" s="8" t="s">
        <v>5</v>
      </c>
      <c r="D100" s="13"/>
      <c r="E100" s="13"/>
      <c r="F100" s="13"/>
      <c r="G100" s="13"/>
      <c r="H100" s="8"/>
      <c r="I100" s="25"/>
      <c r="J100" s="32"/>
      <c r="K100" s="33"/>
      <c r="L100" s="87"/>
      <c r="M100" s="128"/>
    </row>
    <row r="101" spans="2:13">
      <c r="B101" s="146"/>
      <c r="C101" s="8" t="s">
        <v>10</v>
      </c>
      <c r="D101" s="9"/>
      <c r="E101" s="9"/>
      <c r="F101" s="9"/>
      <c r="G101" s="9"/>
      <c r="H101" s="10"/>
      <c r="I101" s="25"/>
      <c r="J101" s="32"/>
      <c r="K101" s="33"/>
      <c r="L101" s="87">
        <v>0.48511654451519887</v>
      </c>
      <c r="M101" s="128"/>
    </row>
    <row r="102" spans="2:13">
      <c r="B102" s="146"/>
      <c r="C102" s="8" t="s">
        <v>6</v>
      </c>
      <c r="D102" s="9"/>
      <c r="E102" s="9"/>
      <c r="F102" s="107"/>
      <c r="G102" s="9"/>
      <c r="H102" s="10"/>
      <c r="I102" s="25"/>
      <c r="J102" s="32"/>
      <c r="K102" s="33"/>
      <c r="L102" s="87">
        <v>0.83333333333333348</v>
      </c>
      <c r="M102" s="128"/>
    </row>
    <row r="103" spans="2:13">
      <c r="B103" s="146"/>
      <c r="C103" s="8" t="s">
        <v>16</v>
      </c>
      <c r="D103" s="9"/>
      <c r="E103" s="9"/>
      <c r="F103" s="9"/>
      <c r="G103" s="9"/>
      <c r="H103" s="10"/>
      <c r="I103" s="25"/>
      <c r="J103" s="32"/>
      <c r="K103" s="113"/>
      <c r="L103" s="87">
        <v>1.0849952516619183</v>
      </c>
      <c r="M103" s="130"/>
    </row>
    <row r="104" spans="2:13" ht="10.5">
      <c r="D104" s="11"/>
      <c r="E104" s="11"/>
      <c r="F104" s="11"/>
      <c r="G104" s="11"/>
      <c r="H104" s="12"/>
      <c r="I104" s="26"/>
      <c r="J104" s="40"/>
      <c r="K104" s="47"/>
      <c r="L104" s="84">
        <v>4.0701117961771178</v>
      </c>
      <c r="M104" s="129"/>
    </row>
    <row r="105" spans="2:13" ht="10.5">
      <c r="D105" s="4"/>
      <c r="E105" s="4"/>
      <c r="F105" s="4"/>
      <c r="G105" s="4"/>
      <c r="H105" s="5"/>
      <c r="I105" s="5"/>
      <c r="J105" s="41"/>
      <c r="K105" s="43"/>
      <c r="L105" s="85"/>
      <c r="M105" s="127"/>
    </row>
    <row r="106" spans="2:13" ht="12.75" customHeight="1">
      <c r="D106" s="23"/>
      <c r="E106" s="4"/>
      <c r="F106" s="4"/>
      <c r="G106" s="4"/>
      <c r="K106" s="48"/>
      <c r="L106" s="86">
        <v>7.8318178222357497</v>
      </c>
    </row>
    <row r="107" spans="2:13" ht="12.75" customHeight="1">
      <c r="L107" s="85">
        <v>7.8318178222357497</v>
      </c>
    </row>
    <row r="108" spans="2:13">
      <c r="L108" s="80"/>
    </row>
    <row r="109" spans="2:13" ht="13">
      <c r="B109" s="148" t="s">
        <v>18</v>
      </c>
      <c r="C109" s="148"/>
      <c r="L109" s="80"/>
    </row>
    <row r="110" spans="2:13">
      <c r="L110" s="80"/>
    </row>
    <row r="111" spans="2:13" ht="10.5">
      <c r="B111" s="146" t="s">
        <v>19</v>
      </c>
      <c r="C111" s="21" t="s">
        <v>2</v>
      </c>
      <c r="D111" s="18"/>
      <c r="E111" s="45"/>
      <c r="F111" s="45"/>
      <c r="G111" s="45"/>
      <c r="H111" s="19"/>
      <c r="J111" s="37"/>
      <c r="K111" s="49"/>
      <c r="L111" s="88"/>
    </row>
    <row r="112" spans="2:13">
      <c r="B112" s="146"/>
      <c r="C112" s="8" t="s">
        <v>7</v>
      </c>
      <c r="D112" s="120"/>
      <c r="E112" s="120"/>
      <c r="F112" s="120"/>
      <c r="G112" s="120"/>
      <c r="H112" s="132"/>
      <c r="I112" s="108"/>
      <c r="J112" s="133"/>
      <c r="K112" s="113"/>
      <c r="L112" s="87">
        <v>0</v>
      </c>
      <c r="M112" s="128"/>
    </row>
    <row r="113" spans="2:13">
      <c r="B113" s="146"/>
      <c r="C113" s="8" t="s">
        <v>8</v>
      </c>
      <c r="D113" s="9"/>
      <c r="E113" s="9"/>
      <c r="F113" s="9"/>
      <c r="G113" s="124"/>
      <c r="H113" s="132"/>
      <c r="I113" s="25"/>
      <c r="J113" s="32"/>
      <c r="K113" s="33"/>
      <c r="L113" s="87">
        <v>0.83351544289044299</v>
      </c>
      <c r="M113" s="128"/>
    </row>
    <row r="114" spans="2:13">
      <c r="B114" s="146"/>
      <c r="C114" s="103" t="s">
        <v>3</v>
      </c>
      <c r="D114" s="98"/>
      <c r="E114" s="98"/>
      <c r="F114" s="98"/>
      <c r="G114" s="98"/>
      <c r="H114" s="104"/>
      <c r="I114" s="105"/>
      <c r="J114" s="101"/>
      <c r="K114" s="99"/>
      <c r="L114" s="106"/>
      <c r="M114" s="128"/>
    </row>
    <row r="115" spans="2:13" ht="10.5">
      <c r="B115" s="146"/>
      <c r="C115" s="14"/>
      <c r="D115" s="11"/>
      <c r="E115" s="11"/>
      <c r="F115" s="11"/>
      <c r="G115" s="11"/>
      <c r="H115" s="12"/>
      <c r="I115" s="26"/>
      <c r="J115" s="38"/>
      <c r="K115" s="33"/>
      <c r="L115" s="82">
        <v>0.83351544289044299</v>
      </c>
      <c r="M115" s="129"/>
    </row>
    <row r="116" spans="2:13">
      <c r="B116" s="146"/>
      <c r="C116" s="17"/>
      <c r="D116" s="16"/>
      <c r="E116" s="16"/>
      <c r="F116" s="16"/>
      <c r="G116" s="16"/>
      <c r="H116" s="16"/>
      <c r="I116" s="2"/>
      <c r="J116" s="39"/>
      <c r="K116" s="42"/>
      <c r="L116" s="83"/>
    </row>
    <row r="117" spans="2:13" ht="10.5">
      <c r="B117" s="146"/>
      <c r="C117" s="22" t="s">
        <v>4</v>
      </c>
      <c r="D117" s="15"/>
      <c r="E117" s="16"/>
      <c r="F117" s="16"/>
      <c r="G117" s="16"/>
      <c r="H117" s="16"/>
      <c r="I117" s="2"/>
      <c r="J117" s="39"/>
      <c r="K117" s="42"/>
      <c r="L117" s="83"/>
    </row>
    <row r="118" spans="2:13">
      <c r="B118" s="146"/>
      <c r="C118" s="97" t="s">
        <v>38</v>
      </c>
      <c r="D118" s="98"/>
      <c r="E118" s="99"/>
      <c r="F118" s="99"/>
      <c r="G118" s="99"/>
      <c r="H118" s="98"/>
      <c r="I118" s="100"/>
      <c r="J118" s="101"/>
      <c r="K118" s="99"/>
      <c r="L118" s="102"/>
    </row>
    <row r="119" spans="2:13">
      <c r="B119" s="146"/>
      <c r="C119" s="8" t="s">
        <v>11</v>
      </c>
      <c r="D119" s="9"/>
      <c r="E119" s="9"/>
      <c r="F119" s="9"/>
      <c r="G119" s="9"/>
      <c r="H119" s="10"/>
      <c r="I119" s="25"/>
      <c r="J119" s="32"/>
      <c r="K119" s="33"/>
      <c r="L119" s="87">
        <v>0.83333333333333348</v>
      </c>
      <c r="M119" s="128"/>
    </row>
    <row r="120" spans="2:13">
      <c r="B120" s="146"/>
      <c r="C120" s="8" t="s">
        <v>21</v>
      </c>
      <c r="D120" s="9"/>
      <c r="E120" s="9"/>
      <c r="F120" s="9"/>
      <c r="G120" s="9"/>
      <c r="H120" s="10"/>
      <c r="I120" s="25"/>
      <c r="J120" s="32"/>
      <c r="K120" s="33"/>
      <c r="L120" s="87"/>
      <c r="M120" s="128"/>
    </row>
    <row r="121" spans="2:13" ht="11.25" customHeight="1">
      <c r="B121" s="146"/>
      <c r="C121" s="8" t="s">
        <v>20</v>
      </c>
      <c r="D121" s="13"/>
      <c r="E121" s="13"/>
      <c r="F121" s="118"/>
      <c r="G121" s="118"/>
      <c r="H121" s="10"/>
      <c r="I121" s="25"/>
      <c r="J121" s="32"/>
      <c r="K121" s="33"/>
      <c r="L121" s="87">
        <v>0.83333333333333348</v>
      </c>
      <c r="M121" s="128"/>
    </row>
    <row r="122" spans="2:13">
      <c r="B122" s="146"/>
      <c r="C122" s="8" t="s">
        <v>10</v>
      </c>
      <c r="D122" s="9"/>
      <c r="E122" s="9"/>
      <c r="F122" s="9"/>
      <c r="G122" s="9"/>
      <c r="H122" s="10"/>
      <c r="I122" s="25"/>
      <c r="J122" s="32"/>
      <c r="K122" s="33"/>
      <c r="L122" s="87">
        <v>0.44383083946233837</v>
      </c>
      <c r="M122" s="128"/>
    </row>
    <row r="123" spans="2:13">
      <c r="B123" s="146"/>
      <c r="C123" s="8" t="s">
        <v>6</v>
      </c>
      <c r="D123" s="9"/>
      <c r="E123" s="9"/>
      <c r="F123" s="9"/>
      <c r="G123" s="9"/>
      <c r="H123" s="10"/>
      <c r="I123" s="25"/>
      <c r="J123" s="32"/>
      <c r="K123" s="33"/>
      <c r="L123" s="87">
        <v>0.83333333333333348</v>
      </c>
      <c r="M123" s="128"/>
    </row>
    <row r="124" spans="2:13">
      <c r="B124" s="146"/>
      <c r="C124" s="8" t="s">
        <v>16</v>
      </c>
      <c r="D124" s="9"/>
      <c r="E124" s="9"/>
      <c r="F124" s="9"/>
      <c r="G124" s="9"/>
      <c r="H124" s="10"/>
      <c r="I124" s="25"/>
      <c r="J124" s="32"/>
      <c r="K124" s="33"/>
      <c r="L124" s="87">
        <v>0.83333333333333348</v>
      </c>
      <c r="M124" s="128"/>
    </row>
    <row r="125" spans="2:13" ht="10.5">
      <c r="D125" s="11"/>
      <c r="E125" s="11"/>
      <c r="F125" s="11"/>
      <c r="G125" s="11"/>
      <c r="H125" s="12"/>
      <c r="I125" s="26"/>
      <c r="J125" s="40"/>
      <c r="K125" s="47"/>
      <c r="L125" s="84">
        <v>3.7771641727956724</v>
      </c>
      <c r="M125" s="129"/>
    </row>
    <row r="126" spans="2:13" ht="10.5">
      <c r="D126" s="4"/>
      <c r="E126" s="4"/>
      <c r="F126" s="4"/>
      <c r="G126" s="4"/>
      <c r="H126" s="5"/>
      <c r="I126" s="5"/>
      <c r="J126" s="41"/>
      <c r="K126" s="43"/>
      <c r="L126" s="85"/>
      <c r="M126" s="127"/>
    </row>
    <row r="127" spans="2:13" ht="12.75" customHeight="1">
      <c r="D127" s="23"/>
      <c r="E127" s="4"/>
      <c r="F127" s="4"/>
      <c r="G127" s="4"/>
      <c r="K127" s="48"/>
      <c r="L127" s="86">
        <v>4.6106796156861156</v>
      </c>
    </row>
    <row r="128" spans="2:13" ht="12.75" customHeight="1">
      <c r="L128" s="85">
        <v>0</v>
      </c>
    </row>
    <row r="129" spans="2:13">
      <c r="L129" s="80"/>
    </row>
    <row r="130" spans="2:13" ht="11.25" customHeight="1">
      <c r="B130" s="146" t="s">
        <v>52</v>
      </c>
      <c r="C130" s="21" t="s">
        <v>2</v>
      </c>
      <c r="D130" s="18"/>
      <c r="E130" s="45"/>
      <c r="F130" s="45"/>
      <c r="G130" s="45"/>
      <c r="H130" s="19"/>
      <c r="J130" s="37"/>
      <c r="K130" s="49"/>
      <c r="L130" s="88"/>
    </row>
    <row r="131" spans="2:13">
      <c r="B131" s="146"/>
      <c r="C131" s="8" t="s">
        <v>7</v>
      </c>
      <c r="D131" s="9"/>
      <c r="E131" s="9"/>
      <c r="F131" s="107"/>
      <c r="G131" s="107"/>
      <c r="H131" s="10"/>
      <c r="I131" s="25"/>
      <c r="J131" s="32"/>
      <c r="K131" s="113"/>
      <c r="L131" s="87">
        <v>1.3308823529411766</v>
      </c>
      <c r="M131" s="128"/>
    </row>
    <row r="132" spans="2:13">
      <c r="B132" s="146"/>
      <c r="C132" s="8" t="s">
        <v>8</v>
      </c>
      <c r="D132" s="9"/>
      <c r="E132" s="9"/>
      <c r="F132" s="9"/>
      <c r="G132" s="9"/>
      <c r="H132" s="10"/>
      <c r="I132" s="25"/>
      <c r="J132" s="32"/>
      <c r="K132" s="33"/>
      <c r="L132" s="87">
        <v>0</v>
      </c>
      <c r="M132" s="128"/>
    </row>
    <row r="133" spans="2:13">
      <c r="B133" s="146"/>
      <c r="C133" s="103" t="s">
        <v>3</v>
      </c>
      <c r="D133" s="98"/>
      <c r="E133" s="98"/>
      <c r="F133" s="98"/>
      <c r="G133" s="98"/>
      <c r="H133" s="104"/>
      <c r="I133" s="105"/>
      <c r="J133" s="101"/>
      <c r="K133" s="99"/>
      <c r="L133" s="102"/>
      <c r="M133" s="128"/>
    </row>
    <row r="134" spans="2:13" ht="10.5">
      <c r="B134" s="146"/>
      <c r="C134" s="14"/>
      <c r="D134" s="11"/>
      <c r="E134" s="11"/>
      <c r="F134" s="11"/>
      <c r="G134" s="11"/>
      <c r="H134" s="12"/>
      <c r="I134" s="26"/>
      <c r="J134" s="38"/>
      <c r="K134" s="33"/>
      <c r="L134" s="82">
        <v>1.3308823529411766</v>
      </c>
      <c r="M134" s="129"/>
    </row>
    <row r="135" spans="2:13">
      <c r="B135" s="146"/>
      <c r="C135" s="17"/>
      <c r="D135" s="16"/>
      <c r="E135" s="16"/>
      <c r="F135" s="16"/>
      <c r="G135" s="16"/>
      <c r="H135" s="16"/>
      <c r="I135" s="2"/>
      <c r="J135" s="39"/>
      <c r="K135" s="42"/>
      <c r="L135" s="83"/>
    </row>
    <row r="136" spans="2:13" ht="10.5">
      <c r="B136" s="146"/>
      <c r="C136" s="22" t="s">
        <v>4</v>
      </c>
      <c r="D136" s="15"/>
      <c r="E136" s="16"/>
      <c r="F136" s="16"/>
      <c r="G136" s="16"/>
      <c r="H136" s="16"/>
      <c r="I136" s="2"/>
      <c r="J136" s="39"/>
      <c r="K136" s="42"/>
      <c r="L136" s="83"/>
    </row>
    <row r="137" spans="2:13">
      <c r="B137" s="146"/>
      <c r="C137" s="97" t="s">
        <v>38</v>
      </c>
      <c r="D137" s="98"/>
      <c r="E137" s="99"/>
      <c r="F137" s="99"/>
      <c r="G137" s="99"/>
      <c r="H137" s="98"/>
      <c r="I137" s="100"/>
      <c r="J137" s="101"/>
      <c r="K137" s="99"/>
      <c r="L137" s="102"/>
    </row>
    <row r="138" spans="2:13">
      <c r="B138" s="146"/>
      <c r="C138" s="8" t="s">
        <v>11</v>
      </c>
      <c r="D138" s="9"/>
      <c r="E138" s="9"/>
      <c r="F138" s="9"/>
      <c r="G138" s="9"/>
      <c r="H138" s="10"/>
      <c r="I138" s="25"/>
      <c r="J138" s="32"/>
      <c r="K138" s="33"/>
      <c r="L138" s="87">
        <v>1</v>
      </c>
      <c r="M138" s="128"/>
    </row>
    <row r="139" spans="2:13">
      <c r="B139" s="146"/>
      <c r="C139" s="8" t="s">
        <v>21</v>
      </c>
      <c r="D139" s="9"/>
      <c r="E139" s="9"/>
      <c r="F139" s="9"/>
      <c r="G139" s="9"/>
      <c r="H139" s="10"/>
      <c r="I139" s="25"/>
      <c r="J139" s="32"/>
      <c r="K139" s="33"/>
      <c r="L139" s="87">
        <v>1</v>
      </c>
      <c r="M139" s="128"/>
    </row>
    <row r="140" spans="2:13" ht="11.25" customHeight="1">
      <c r="B140" s="146"/>
      <c r="C140" s="8" t="s">
        <v>5</v>
      </c>
      <c r="D140" s="13"/>
      <c r="E140" s="13"/>
      <c r="F140" s="118"/>
      <c r="G140" s="118"/>
      <c r="H140" s="10"/>
      <c r="I140" s="25"/>
      <c r="J140" s="32"/>
      <c r="K140" s="33"/>
      <c r="L140" s="87">
        <v>1</v>
      </c>
      <c r="M140" s="128"/>
    </row>
    <row r="141" spans="2:13">
      <c r="B141" s="146"/>
      <c r="C141" s="8" t="s">
        <v>10</v>
      </c>
      <c r="D141" s="9"/>
      <c r="E141" s="9"/>
      <c r="F141" s="9"/>
      <c r="G141" s="9"/>
      <c r="H141" s="10"/>
      <c r="I141" s="25"/>
      <c r="J141" s="32"/>
      <c r="K141" s="33"/>
      <c r="L141" s="87">
        <v>0.52576722748903959</v>
      </c>
      <c r="M141" s="128"/>
    </row>
    <row r="142" spans="2:13">
      <c r="B142" s="146"/>
      <c r="C142" s="8" t="s">
        <v>6</v>
      </c>
      <c r="D142" s="9"/>
      <c r="E142" s="9"/>
      <c r="F142" s="9"/>
      <c r="G142" s="9"/>
      <c r="H142" s="10"/>
      <c r="I142" s="25"/>
      <c r="J142" s="32"/>
      <c r="K142" s="33"/>
      <c r="L142" s="87">
        <v>0</v>
      </c>
      <c r="M142" s="128"/>
    </row>
    <row r="143" spans="2:13">
      <c r="B143" s="146"/>
      <c r="C143" s="8" t="s">
        <v>16</v>
      </c>
      <c r="D143" s="9"/>
      <c r="E143" s="107"/>
      <c r="F143" s="107"/>
      <c r="G143" s="107"/>
      <c r="H143" s="10"/>
      <c r="I143" s="25"/>
      <c r="J143" s="32"/>
      <c r="K143" s="33"/>
      <c r="L143" s="81"/>
      <c r="M143" s="128"/>
    </row>
    <row r="144" spans="2:13" ht="10.5">
      <c r="D144" s="11"/>
      <c r="E144" s="11"/>
      <c r="F144" s="11"/>
      <c r="G144" s="11"/>
      <c r="H144" s="12"/>
      <c r="I144" s="26"/>
      <c r="J144" s="40"/>
      <c r="K144" s="47"/>
      <c r="L144" s="84">
        <v>3.5257672274890397</v>
      </c>
      <c r="M144" s="129"/>
    </row>
    <row r="145" spans="2:13" ht="10.5">
      <c r="D145" s="4"/>
      <c r="E145" s="4"/>
      <c r="F145" s="4"/>
      <c r="G145" s="4"/>
      <c r="H145" s="5"/>
      <c r="I145" s="5"/>
      <c r="J145" s="41"/>
      <c r="K145" s="43"/>
      <c r="L145" s="85"/>
      <c r="M145" s="127"/>
    </row>
    <row r="146" spans="2:13" ht="12.75" customHeight="1">
      <c r="D146" s="23"/>
      <c r="E146" s="4"/>
      <c r="F146" s="4"/>
      <c r="G146" s="4"/>
      <c r="K146" s="48"/>
      <c r="L146" s="86">
        <v>4.8566495804302168</v>
      </c>
    </row>
    <row r="147" spans="2:13" ht="12.75" customHeight="1">
      <c r="L147" s="85">
        <v>0</v>
      </c>
    </row>
    <row r="148" spans="2:13">
      <c r="L148" s="50"/>
    </row>
    <row r="149" spans="2:13" ht="13">
      <c r="B149" s="152" t="s">
        <v>39</v>
      </c>
      <c r="C149" s="152"/>
      <c r="L149" s="80"/>
    </row>
    <row r="150" spans="2:13">
      <c r="L150" s="50"/>
    </row>
    <row r="151" spans="2:13" ht="11.25" customHeight="1">
      <c r="B151" s="149" t="s">
        <v>54</v>
      </c>
      <c r="C151" s="21" t="s">
        <v>2</v>
      </c>
      <c r="D151" s="18"/>
      <c r="E151" s="45"/>
      <c r="F151" s="45"/>
      <c r="G151" s="45"/>
      <c r="H151" s="19"/>
      <c r="J151" s="37"/>
      <c r="K151" s="49"/>
      <c r="L151" s="88"/>
    </row>
    <row r="152" spans="2:13" ht="10.9" customHeight="1">
      <c r="B152" s="150"/>
      <c r="C152" s="8" t="s">
        <v>7</v>
      </c>
      <c r="D152" s="9"/>
      <c r="E152" s="9"/>
      <c r="F152" s="9"/>
      <c r="G152" s="9"/>
      <c r="H152" s="10"/>
      <c r="I152" s="25"/>
      <c r="J152" s="32"/>
      <c r="K152" s="113"/>
      <c r="L152" s="87">
        <v>1.3671875000000004</v>
      </c>
      <c r="M152" s="128"/>
    </row>
    <row r="153" spans="2:13" ht="10.9" customHeight="1">
      <c r="B153" s="150"/>
      <c r="C153" s="14" t="s">
        <v>47</v>
      </c>
      <c r="D153" s="9"/>
      <c r="E153" s="9"/>
      <c r="F153" s="9"/>
      <c r="G153" s="107"/>
      <c r="H153" s="10"/>
      <c r="I153" s="25"/>
      <c r="J153" s="32"/>
      <c r="K153" s="113"/>
      <c r="L153" s="87">
        <v>1.6248009031198687</v>
      </c>
      <c r="M153" s="128"/>
    </row>
    <row r="154" spans="2:13">
      <c r="B154" s="150"/>
      <c r="C154" s="8" t="s">
        <v>8</v>
      </c>
      <c r="D154" s="107"/>
      <c r="E154" s="9"/>
      <c r="F154" s="9"/>
      <c r="G154" s="9"/>
      <c r="H154" s="10"/>
      <c r="I154" s="25"/>
      <c r="J154" s="32"/>
      <c r="K154" s="113"/>
      <c r="L154" s="87">
        <v>0</v>
      </c>
      <c r="M154" s="128"/>
    </row>
    <row r="155" spans="2:13">
      <c r="B155" s="150"/>
      <c r="C155" s="103" t="s">
        <v>3</v>
      </c>
      <c r="D155" s="98"/>
      <c r="E155" s="98"/>
      <c r="F155" s="98"/>
      <c r="G155" s="98"/>
      <c r="H155" s="104"/>
      <c r="I155" s="105"/>
      <c r="J155" s="101"/>
      <c r="K155" s="99"/>
      <c r="L155" s="99"/>
      <c r="M155" s="128"/>
    </row>
    <row r="156" spans="2:13" ht="10.5">
      <c r="B156" s="150"/>
      <c r="C156" s="14"/>
      <c r="D156" s="11"/>
      <c r="E156" s="11"/>
      <c r="F156" s="11"/>
      <c r="G156" s="11"/>
      <c r="H156" s="12"/>
      <c r="I156" s="26"/>
      <c r="J156" s="38"/>
      <c r="K156" s="33"/>
      <c r="L156" s="82">
        <v>2.9919884031198691</v>
      </c>
      <c r="M156" s="129"/>
    </row>
    <row r="157" spans="2:13">
      <c r="B157" s="150"/>
      <c r="C157" s="17"/>
      <c r="D157" s="16"/>
      <c r="E157" s="16"/>
      <c r="F157" s="16"/>
      <c r="G157" s="16"/>
      <c r="H157" s="16"/>
      <c r="I157" s="2"/>
      <c r="J157" s="39"/>
      <c r="K157" s="42"/>
      <c r="L157" s="83"/>
    </row>
    <row r="158" spans="2:13" ht="10.5">
      <c r="B158" s="150"/>
      <c r="C158" s="22" t="s">
        <v>4</v>
      </c>
      <c r="D158" s="15"/>
      <c r="E158" s="16"/>
      <c r="F158" s="16"/>
      <c r="G158" s="16"/>
      <c r="H158" s="16"/>
      <c r="I158" s="2"/>
      <c r="J158" s="39"/>
      <c r="K158" s="42"/>
      <c r="L158" s="83"/>
    </row>
    <row r="159" spans="2:13">
      <c r="B159" s="150"/>
      <c r="C159" s="97" t="s">
        <v>38</v>
      </c>
      <c r="D159" s="98"/>
      <c r="E159" s="99"/>
      <c r="F159" s="99"/>
      <c r="G159" s="99"/>
      <c r="H159" s="98"/>
      <c r="I159" s="100"/>
      <c r="J159" s="101"/>
      <c r="K159" s="99"/>
      <c r="L159" s="102"/>
    </row>
    <row r="160" spans="2:13">
      <c r="B160" s="150"/>
      <c r="C160" s="8" t="s">
        <v>11</v>
      </c>
      <c r="D160" s="9"/>
      <c r="E160" s="9"/>
      <c r="F160" s="9"/>
      <c r="G160" s="9"/>
      <c r="H160" s="10"/>
      <c r="I160" s="25"/>
      <c r="J160" s="32"/>
      <c r="K160" s="33"/>
      <c r="L160" s="87">
        <v>1</v>
      </c>
      <c r="M160" s="128"/>
    </row>
    <row r="161" spans="2:13">
      <c r="B161" s="150"/>
      <c r="C161" s="119" t="s">
        <v>21</v>
      </c>
      <c r="D161" s="9"/>
      <c r="E161" s="9"/>
      <c r="F161" s="9"/>
      <c r="G161" s="9"/>
      <c r="H161" s="10"/>
      <c r="I161" s="25"/>
      <c r="J161" s="32"/>
      <c r="K161" s="33"/>
      <c r="L161" s="87">
        <v>1</v>
      </c>
      <c r="M161" s="128"/>
    </row>
    <row r="162" spans="2:13" ht="11.25" customHeight="1">
      <c r="B162" s="150"/>
      <c r="C162" s="8" t="s">
        <v>5</v>
      </c>
      <c r="D162" s="13"/>
      <c r="E162" s="13"/>
      <c r="F162" s="13"/>
      <c r="G162" s="13"/>
      <c r="H162" s="10"/>
      <c r="I162" s="25"/>
      <c r="J162" s="32"/>
      <c r="K162" s="33"/>
      <c r="L162" s="81"/>
      <c r="M162" s="128"/>
    </row>
    <row r="163" spans="2:13">
      <c r="B163" s="150"/>
      <c r="C163" s="8" t="s">
        <v>10</v>
      </c>
      <c r="D163" s="9"/>
      <c r="E163" s="9"/>
      <c r="F163" s="9"/>
      <c r="G163" s="9"/>
      <c r="H163" s="10"/>
      <c r="I163" s="25"/>
      <c r="J163" s="32"/>
      <c r="K163" s="33"/>
      <c r="L163" s="87">
        <v>0</v>
      </c>
      <c r="M163" s="128"/>
    </row>
    <row r="164" spans="2:13">
      <c r="B164" s="150"/>
      <c r="C164" s="8" t="s">
        <v>6</v>
      </c>
      <c r="D164" s="107"/>
      <c r="E164" s="9"/>
      <c r="F164" s="9"/>
      <c r="G164" s="9"/>
      <c r="H164" s="10"/>
      <c r="I164" s="25"/>
      <c r="J164" s="32"/>
      <c r="K164" s="33"/>
      <c r="L164" s="81"/>
      <c r="M164" s="128"/>
    </row>
    <row r="165" spans="2:13">
      <c r="B165" s="151"/>
      <c r="C165" s="8" t="s">
        <v>16</v>
      </c>
      <c r="D165" s="9"/>
      <c r="E165" s="9"/>
      <c r="F165" s="9"/>
      <c r="G165" s="9"/>
      <c r="H165" s="10"/>
      <c r="I165" s="25"/>
      <c r="J165" s="32"/>
      <c r="K165" s="113"/>
      <c r="L165" s="87">
        <v>0.8</v>
      </c>
      <c r="M165" s="128"/>
    </row>
    <row r="166" spans="2:13" ht="10.5">
      <c r="D166" s="11"/>
      <c r="E166" s="11"/>
      <c r="F166" s="11"/>
      <c r="G166" s="11"/>
      <c r="H166" s="12"/>
      <c r="I166" s="26"/>
      <c r="J166" s="40"/>
      <c r="K166" s="47"/>
      <c r="L166" s="84">
        <v>2.8</v>
      </c>
      <c r="M166" s="129"/>
    </row>
    <row r="167" spans="2:13" ht="10.5">
      <c r="D167" s="4"/>
      <c r="E167" s="4"/>
      <c r="F167" s="4"/>
      <c r="G167" s="4"/>
      <c r="H167" s="5"/>
      <c r="I167" s="5"/>
      <c r="J167" s="41"/>
      <c r="K167" s="43"/>
      <c r="L167" s="85"/>
      <c r="M167" s="127"/>
    </row>
    <row r="168" spans="2:13" ht="12.75" customHeight="1">
      <c r="D168" s="23"/>
      <c r="E168" s="4"/>
      <c r="F168" s="4"/>
      <c r="G168" s="4"/>
      <c r="K168" s="48"/>
      <c r="L168" s="86">
        <v>5.791988403119869</v>
      </c>
    </row>
    <row r="169" spans="2:13" ht="12.75" customHeight="1">
      <c r="L169" s="85">
        <v>0</v>
      </c>
    </row>
    <row r="170" spans="2:13">
      <c r="L170" s="50"/>
    </row>
    <row r="173" spans="2:13" ht="11.25" customHeight="1">
      <c r="B173" s="146" t="s">
        <v>51</v>
      </c>
      <c r="C173" s="21" t="s">
        <v>2</v>
      </c>
      <c r="D173" s="18"/>
      <c r="E173" s="45"/>
      <c r="F173" s="45"/>
      <c r="G173" s="45"/>
      <c r="H173" s="19"/>
      <c r="J173" s="37"/>
      <c r="K173" s="30"/>
      <c r="L173" s="88"/>
    </row>
    <row r="174" spans="2:13">
      <c r="B174" s="146"/>
      <c r="C174" s="8" t="s">
        <v>7</v>
      </c>
      <c r="D174" s="9"/>
      <c r="E174" s="107"/>
      <c r="F174" s="107"/>
      <c r="G174" s="107"/>
      <c r="H174" s="10"/>
      <c r="I174" s="25"/>
      <c r="J174" s="32"/>
      <c r="K174" s="33"/>
      <c r="L174" s="87">
        <v>1.582051282051282</v>
      </c>
    </row>
    <row r="175" spans="2:13">
      <c r="B175" s="146"/>
      <c r="C175" s="8" t="s">
        <v>8</v>
      </c>
      <c r="D175" s="9"/>
      <c r="E175" s="9"/>
      <c r="F175" s="9"/>
      <c r="G175" s="9"/>
      <c r="H175" s="10"/>
      <c r="I175" s="25"/>
      <c r="J175" s="32"/>
      <c r="K175" s="33"/>
      <c r="L175" s="81"/>
    </row>
    <row r="176" spans="2:13">
      <c r="B176" s="146"/>
      <c r="C176" s="8" t="s">
        <v>3</v>
      </c>
      <c r="D176" s="9"/>
      <c r="E176" s="9"/>
      <c r="F176" s="9"/>
      <c r="G176" s="9"/>
      <c r="H176" s="10"/>
      <c r="I176" s="25"/>
      <c r="J176" s="32"/>
      <c r="K176" s="33"/>
      <c r="L176" s="87">
        <v>0.66666666666666674</v>
      </c>
    </row>
    <row r="177" spans="2:13">
      <c r="B177" s="146"/>
      <c r="C177" s="14" t="s">
        <v>40</v>
      </c>
      <c r="D177" s="9"/>
      <c r="E177" s="9"/>
      <c r="F177" s="9"/>
      <c r="G177" s="107"/>
      <c r="H177" s="10"/>
      <c r="I177" s="25"/>
      <c r="J177" s="32"/>
      <c r="K177" s="33"/>
      <c r="L177" s="87">
        <v>1.4646839080459773</v>
      </c>
    </row>
    <row r="178" spans="2:13">
      <c r="B178" s="146"/>
      <c r="C178" s="14" t="s">
        <v>45</v>
      </c>
      <c r="D178" s="9"/>
      <c r="E178" s="9"/>
      <c r="F178" s="9"/>
      <c r="G178" s="9"/>
      <c r="H178" s="10"/>
      <c r="I178" s="25"/>
      <c r="J178" s="32"/>
      <c r="K178" s="33"/>
      <c r="L178" s="87">
        <v>0.66666666666666674</v>
      </c>
    </row>
    <row r="179" spans="2:13" ht="10.5">
      <c r="B179" s="146"/>
      <c r="C179" s="14"/>
      <c r="D179" s="11"/>
      <c r="E179" s="11"/>
      <c r="F179" s="11"/>
      <c r="G179" s="11"/>
      <c r="H179" s="12"/>
      <c r="I179" s="26"/>
      <c r="J179" s="38"/>
      <c r="K179" s="33"/>
      <c r="L179" s="82">
        <v>4.3800685234305927</v>
      </c>
    </row>
    <row r="180" spans="2:13">
      <c r="B180" s="146"/>
      <c r="C180" s="17"/>
      <c r="D180" s="16"/>
      <c r="E180" s="16"/>
      <c r="F180" s="16"/>
      <c r="G180" s="16"/>
      <c r="H180" s="16"/>
      <c r="I180" s="2"/>
      <c r="J180" s="39"/>
      <c r="K180" s="42"/>
      <c r="L180" s="83"/>
    </row>
    <row r="181" spans="2:13" ht="10.5">
      <c r="B181" s="146"/>
      <c r="C181" s="22" t="s">
        <v>4</v>
      </c>
      <c r="D181" s="15"/>
      <c r="E181" s="16"/>
      <c r="F181" s="16"/>
      <c r="G181" s="16"/>
      <c r="H181" s="16"/>
      <c r="I181" s="2"/>
      <c r="J181" s="39"/>
      <c r="K181" s="42"/>
      <c r="L181" s="83"/>
    </row>
    <row r="182" spans="2:13">
      <c r="B182" s="146"/>
      <c r="C182" s="97" t="s">
        <v>38</v>
      </c>
      <c r="D182" s="98"/>
      <c r="E182" s="99"/>
      <c r="F182" s="99"/>
      <c r="G182" s="99"/>
      <c r="H182" s="98"/>
      <c r="I182" s="100"/>
      <c r="J182" s="101"/>
      <c r="K182" s="99"/>
      <c r="L182" s="102"/>
    </row>
    <row r="183" spans="2:13">
      <c r="B183" s="146"/>
      <c r="C183" s="8" t="s">
        <v>11</v>
      </c>
      <c r="D183" s="9"/>
      <c r="E183" s="9"/>
      <c r="F183" s="9"/>
      <c r="G183" s="107"/>
      <c r="H183" s="10"/>
      <c r="I183" s="25"/>
      <c r="J183" s="32"/>
      <c r="K183" s="33"/>
      <c r="L183" s="87">
        <v>0.625</v>
      </c>
      <c r="M183" s="128"/>
    </row>
    <row r="184" spans="2:13">
      <c r="B184" s="146"/>
      <c r="C184" s="8" t="s">
        <v>43</v>
      </c>
      <c r="D184" s="9"/>
      <c r="E184" s="9"/>
      <c r="F184" s="9"/>
      <c r="G184" s="107"/>
      <c r="H184" s="10"/>
      <c r="I184" s="25"/>
      <c r="J184" s="32"/>
      <c r="K184" s="33"/>
      <c r="L184" s="87">
        <v>0.625</v>
      </c>
    </row>
    <row r="185" spans="2:13">
      <c r="B185" s="146"/>
      <c r="C185" s="8" t="s">
        <v>44</v>
      </c>
      <c r="D185" s="9"/>
      <c r="E185" s="9"/>
      <c r="F185" s="9"/>
      <c r="G185" s="9"/>
      <c r="H185" s="10"/>
      <c r="I185" s="25"/>
      <c r="J185" s="32"/>
      <c r="K185" s="33"/>
      <c r="L185" s="87">
        <v>0.5</v>
      </c>
    </row>
    <row r="186" spans="2:13">
      <c r="B186" s="146"/>
      <c r="C186" s="8" t="s">
        <v>10</v>
      </c>
      <c r="D186" s="9"/>
      <c r="E186" s="9"/>
      <c r="F186" s="107"/>
      <c r="G186" s="9"/>
      <c r="H186" s="10"/>
      <c r="I186" s="25"/>
      <c r="J186" s="32"/>
      <c r="K186" s="33"/>
      <c r="L186" s="87">
        <v>0.13005050505050506</v>
      </c>
    </row>
    <row r="187" spans="2:13">
      <c r="B187" s="146"/>
      <c r="C187" s="8" t="s">
        <v>46</v>
      </c>
      <c r="D187" s="9"/>
      <c r="E187" s="9"/>
      <c r="F187" s="9"/>
      <c r="G187" s="107"/>
      <c r="H187" s="10"/>
      <c r="I187" s="25"/>
      <c r="J187" s="32"/>
      <c r="K187" s="33"/>
      <c r="L187" s="87">
        <v>1</v>
      </c>
    </row>
    <row r="188" spans="2:13">
      <c r="B188" s="146"/>
      <c r="C188" s="8" t="s">
        <v>74</v>
      </c>
      <c r="D188" s="9"/>
      <c r="E188" s="9"/>
      <c r="F188" s="9"/>
      <c r="G188" s="9"/>
      <c r="H188" s="10"/>
      <c r="I188" s="25"/>
      <c r="J188" s="32"/>
      <c r="K188" s="33"/>
      <c r="L188" s="87">
        <v>1.25</v>
      </c>
    </row>
    <row r="189" spans="2:13">
      <c r="B189" s="146"/>
      <c r="C189" s="8" t="s">
        <v>16</v>
      </c>
      <c r="D189" s="9"/>
      <c r="E189" s="13"/>
      <c r="F189" s="13"/>
      <c r="G189" s="13"/>
      <c r="H189" s="8"/>
      <c r="I189" s="25"/>
      <c r="J189" s="32"/>
      <c r="K189" s="33"/>
      <c r="L189" s="81"/>
    </row>
    <row r="190" spans="2:13" ht="11.25" customHeight="1">
      <c r="B190" s="89"/>
      <c r="C190" s="8" t="s">
        <v>5</v>
      </c>
      <c r="D190" s="13"/>
      <c r="E190" s="13"/>
      <c r="F190" s="13"/>
      <c r="G190" s="13"/>
      <c r="H190" s="8"/>
      <c r="I190" s="25"/>
      <c r="J190" s="32"/>
      <c r="K190" s="33"/>
      <c r="L190" s="81"/>
      <c r="M190" s="128"/>
    </row>
    <row r="191" spans="2:13" ht="10.5">
      <c r="D191" s="11"/>
      <c r="E191" s="11"/>
      <c r="F191" s="11"/>
      <c r="G191" s="11"/>
      <c r="H191" s="12"/>
      <c r="I191" s="26"/>
      <c r="J191" s="40"/>
      <c r="K191" s="47"/>
      <c r="L191" s="84">
        <v>4.1300505050505052</v>
      </c>
    </row>
    <row r="192" spans="2:13" ht="10.5">
      <c r="D192" s="4"/>
      <c r="E192" s="4"/>
      <c r="F192" s="4"/>
      <c r="G192" s="4"/>
      <c r="H192" s="5"/>
      <c r="I192" s="5"/>
      <c r="J192" s="41"/>
      <c r="K192" s="43"/>
      <c r="L192" s="85"/>
    </row>
    <row r="193" spans="3:12" ht="10.5">
      <c r="D193" s="23"/>
      <c r="E193" s="4"/>
      <c r="F193" s="4"/>
      <c r="G193" s="4"/>
      <c r="K193" s="48"/>
      <c r="L193" s="86">
        <v>8.5101190284810979</v>
      </c>
    </row>
    <row r="194" spans="3:12" ht="10.5">
      <c r="L194" s="85">
        <v>8.5101190284810979</v>
      </c>
    </row>
    <row r="198" spans="3:12">
      <c r="D198" s="1">
        <f>J6</f>
        <v>0</v>
      </c>
    </row>
    <row r="199" spans="3:12">
      <c r="D199" s="1">
        <f>J5</f>
        <v>0</v>
      </c>
    </row>
    <row r="200" spans="3:12">
      <c r="C200" s="1" t="str">
        <f>B12</f>
        <v>N2 / flue gas</v>
      </c>
      <c r="D200" s="80">
        <f>L29</f>
        <v>0</v>
      </c>
    </row>
    <row r="201" spans="3:12">
      <c r="C201" s="1" t="str">
        <f>B31</f>
        <v>HC (Gas enriquezido)</v>
      </c>
      <c r="D201" s="80">
        <f>L48</f>
        <v>7.9886244098888719</v>
      </c>
    </row>
    <row r="202" spans="3:12">
      <c r="C202" s="1" t="str">
        <f>B50</f>
        <v>CO2</v>
      </c>
      <c r="D202" s="80">
        <f>L67</f>
        <v>7.6709935897435901</v>
      </c>
    </row>
    <row r="203" spans="3:12">
      <c r="C203" s="1" t="str">
        <f>B71</f>
        <v>Surfactante/Polímero/Alcalino</v>
      </c>
      <c r="D203" s="80">
        <f>L88</f>
        <v>7.6996496890530324</v>
      </c>
    </row>
    <row r="204" spans="3:12">
      <c r="C204" s="1" t="str">
        <f>B90</f>
        <v>Polímero</v>
      </c>
      <c r="D204" s="80">
        <f>L107</f>
        <v>7.8318178222357497</v>
      </c>
    </row>
    <row r="205" spans="3:12">
      <c r="C205" s="1" t="str">
        <f>B111</f>
        <v>Combustión</v>
      </c>
      <c r="D205" s="80">
        <f>L128</f>
        <v>0</v>
      </c>
    </row>
    <row r="206" spans="3:12">
      <c r="C206" s="1" t="str">
        <f>B130</f>
        <v>Inyección Vapor</v>
      </c>
      <c r="D206" s="80">
        <f>L147</f>
        <v>0</v>
      </c>
    </row>
    <row r="207" spans="3:12">
      <c r="C207" s="1" t="str">
        <f>B151</f>
        <v>Por Acción Microbiana (MEOR)</v>
      </c>
      <c r="D207" s="80">
        <f>L169</f>
        <v>0</v>
      </c>
    </row>
    <row r="208" spans="3:12">
      <c r="C208" s="1" t="str">
        <f>B173</f>
        <v>Inyección de Agua de Baja Salinidad</v>
      </c>
      <c r="D208" s="80">
        <f>L194</f>
        <v>8.5101190284810979</v>
      </c>
    </row>
    <row r="213" spans="3:11">
      <c r="C213" s="1" t="str">
        <f>B12</f>
        <v>N2 / flue gas</v>
      </c>
      <c r="D213" s="1" t="str">
        <f>B31</f>
        <v>HC (Gas enriquezido)</v>
      </c>
      <c r="E213" s="1" t="str">
        <f>B50</f>
        <v>CO2</v>
      </c>
      <c r="F213" s="1" t="str">
        <f>B71</f>
        <v>Surfactante/Polímero/Alcalino</v>
      </c>
      <c r="G213" s="1" t="str">
        <f>B90</f>
        <v>Polímero</v>
      </c>
      <c r="H213" s="1" t="str">
        <f>B111</f>
        <v>Combustión</v>
      </c>
      <c r="I213" s="1" t="str">
        <f>B130</f>
        <v>Inyección Vapor</v>
      </c>
      <c r="J213" s="36" t="str">
        <f>B151</f>
        <v>Por Acción Microbiana (MEOR)</v>
      </c>
      <c r="K213" s="1" t="str">
        <f>B173</f>
        <v>Inyección de Agua de Baja Salinidad</v>
      </c>
    </row>
  </sheetData>
  <mergeCells count="20">
    <mergeCell ref="F4:H4"/>
    <mergeCell ref="F5:H5"/>
    <mergeCell ref="F6:H6"/>
    <mergeCell ref="J6:L6"/>
    <mergeCell ref="E8:F8"/>
    <mergeCell ref="J4:L4"/>
    <mergeCell ref="J5:L5"/>
    <mergeCell ref="B173:B189"/>
    <mergeCell ref="B10:C10"/>
    <mergeCell ref="B109:C109"/>
    <mergeCell ref="B111:B124"/>
    <mergeCell ref="B90:B103"/>
    <mergeCell ref="B151:B165"/>
    <mergeCell ref="B149:C149"/>
    <mergeCell ref="B130:B143"/>
    <mergeCell ref="B71:B84"/>
    <mergeCell ref="B31:B44"/>
    <mergeCell ref="B50:B63"/>
    <mergeCell ref="B12:B25"/>
    <mergeCell ref="B69:C69"/>
  </mergeCells>
  <phoneticPr fontId="2" type="noConversion"/>
  <conditionalFormatting sqref="L13:L14 L32:L33 L51:L52 L72:L73 L176:L178 L16">
    <cfRule type="cellIs" dxfId="8" priority="2098" stopIfTrue="1" operator="equal">
      <formula>0</formula>
    </cfRule>
  </conditionalFormatting>
  <conditionalFormatting sqref="L29 L48 L67 L88 L107 L128 L147">
    <cfRule type="cellIs" dxfId="7" priority="1046" stopIfTrue="1" operator="equal">
      <formula>0</formula>
    </cfRule>
    <cfRule type="cellIs" dxfId="6" priority="1048" stopIfTrue="1" operator="notEqual">
      <formula>0</formula>
    </cfRule>
  </conditionalFormatting>
  <conditionalFormatting sqref="L169">
    <cfRule type="cellIs" dxfId="5" priority="847" stopIfTrue="1" operator="equal">
      <formula>0</formula>
    </cfRule>
    <cfRule type="cellIs" dxfId="4" priority="848" stopIfTrue="1" operator="notEqual">
      <formula>0</formula>
    </cfRule>
  </conditionalFormatting>
  <conditionalFormatting sqref="L194">
    <cfRule type="cellIs" dxfId="3" priority="119" stopIfTrue="1" operator="equal">
      <formula>0</formula>
    </cfRule>
    <cfRule type="cellIs" dxfId="2" priority="120" stopIfTrue="1" operator="notEqual">
      <formula>0</formula>
    </cfRule>
  </conditionalFormatting>
  <conditionalFormatting sqref="L153:L154">
    <cfRule type="cellIs" dxfId="1" priority="99" stopIfTrue="1" operator="equal">
      <formula>0</formula>
    </cfRule>
  </conditionalFormatting>
  <conditionalFormatting sqref="L174">
    <cfRule type="cellIs" dxfId="0" priority="9" stopIfTrue="1" operator="equal">
      <formula>0</formula>
    </cfRule>
  </conditionalFormatting>
  <pageMargins left="0.75" right="0.75" top="1" bottom="1" header="0" footer="0"/>
  <pageSetup paperSize="9" orientation="portrait" horizontalDpi="120" verticalDpi="7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C3185-D12D-46FA-8466-EB3F3EB3A8BA}">
  <dimension ref="B3:M5"/>
  <sheetViews>
    <sheetView zoomScale="70" zoomScaleNormal="70" workbookViewId="0">
      <selection activeCell="J17" sqref="J17"/>
    </sheetView>
  </sheetViews>
  <sheetFormatPr baseColWidth="10" defaultRowHeight="12.5"/>
  <cols>
    <col min="1" max="1" width="10.90625" style="134"/>
    <col min="2" max="2" width="18.90625" style="134" customWidth="1"/>
    <col min="3" max="16384" width="10.90625" style="134"/>
  </cols>
  <sheetData>
    <row r="3" spans="2:13" ht="13">
      <c r="D3" s="144"/>
      <c r="E3" s="162"/>
      <c r="F3" s="162"/>
      <c r="G3" s="162"/>
      <c r="H3" s="162"/>
      <c r="I3" s="162"/>
      <c r="J3" s="162"/>
      <c r="K3" s="162"/>
      <c r="L3" s="162"/>
      <c r="M3" s="162"/>
    </row>
    <row r="4" spans="2:13" ht="13">
      <c r="D4" s="137"/>
      <c r="E4" s="137"/>
      <c r="F4" s="137"/>
      <c r="G4" s="137"/>
      <c r="H4" s="137"/>
      <c r="I4" s="137"/>
      <c r="J4" s="137"/>
      <c r="K4" s="137"/>
      <c r="L4" s="137"/>
      <c r="M4" s="137"/>
    </row>
    <row r="5" spans="2:13">
      <c r="B5" s="145"/>
      <c r="C5" s="136" t="str">
        <f>Reg_EOR_Parámetros!$D$7</f>
        <v>Uinf</v>
      </c>
      <c r="D5" s="136">
        <f>Reg_EOR_Parámetros!D29</f>
        <v>1.7437686274509803</v>
      </c>
      <c r="E5" s="135">
        <f>Tabla_Puntaje!$L$29</f>
        <v>0</v>
      </c>
      <c r="F5" s="135">
        <f>Tabla_Puntaje!$L$48</f>
        <v>7.9886244098888719</v>
      </c>
      <c r="G5" s="135">
        <f>Tabla_Puntaje!$L$67</f>
        <v>7.6709935897435901</v>
      </c>
      <c r="H5" s="135">
        <f>Tabla_Puntaje!$L$88</f>
        <v>7.6996496890530324</v>
      </c>
      <c r="I5" s="135">
        <f>Tabla_Puntaje!$L$107</f>
        <v>7.8318178222357497</v>
      </c>
      <c r="J5" s="135">
        <f>Tabla_Puntaje!$L$128</f>
        <v>0</v>
      </c>
      <c r="K5" s="135">
        <f>Tabla_Puntaje!$L$147</f>
        <v>0</v>
      </c>
      <c r="L5" s="135">
        <f>Tabla_Puntaje!$L$169</f>
        <v>0</v>
      </c>
      <c r="M5" s="135">
        <f>Tabla_Puntaje!$L$194</f>
        <v>8.5101190284810979</v>
      </c>
    </row>
  </sheetData>
  <mergeCells count="4">
    <mergeCell ref="L3:M3"/>
    <mergeCell ref="E3:G3"/>
    <mergeCell ref="H3:I3"/>
    <mergeCell ref="J3:K3"/>
  </mergeCells>
  <conditionalFormatting sqref="E5:M5">
    <cfRule type="colorScale" priority="2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FD9A-0CAE-4DF8-A76B-3654C550F00E}">
  <sheetPr codeName="Hoja3"/>
  <dimension ref="G55:Z63"/>
  <sheetViews>
    <sheetView zoomScaleNormal="100" workbookViewId="0">
      <selection activeCell="D20" sqref="D20"/>
    </sheetView>
  </sheetViews>
  <sheetFormatPr baseColWidth="10" defaultRowHeight="12.5"/>
  <cols>
    <col min="26" max="26" width="11.453125" style="90"/>
  </cols>
  <sheetData>
    <row r="55" spans="7:26">
      <c r="G55" s="79"/>
      <c r="H55" s="79"/>
      <c r="I55" s="50"/>
      <c r="J55" s="50"/>
      <c r="K55" s="91"/>
      <c r="L55" s="50"/>
      <c r="M55" s="43"/>
      <c r="N55" s="1"/>
      <c r="R55" s="79">
        <v>1</v>
      </c>
      <c r="S55" s="79">
        <v>1</v>
      </c>
      <c r="T55" s="50" t="str">
        <f>+Tabla_Puntaje!B12</f>
        <v>N2 / flue gas</v>
      </c>
      <c r="U55" s="50">
        <f>Tabla_Puntaje!L29</f>
        <v>0</v>
      </c>
      <c r="V55" s="91">
        <f>Tabla_Puntaje!L28</f>
        <v>4.4829806292688392</v>
      </c>
      <c r="W55" s="50" t="str">
        <f t="shared" ref="W55:W63" si="0">IF(U55=0,"",V55)</f>
        <v/>
      </c>
      <c r="X55" s="43">
        <f t="shared" ref="X55:X63" si="1">IF(U55=0,0,V55)</f>
        <v>0</v>
      </c>
      <c r="Y55" s="1">
        <f t="shared" ref="Y55:Y63" si="2">IF(X55=0,0.5,"")</f>
        <v>0.5</v>
      </c>
      <c r="Z55" s="36">
        <f t="shared" ref="Z55:Z63" si="3">IF(Y55=0.5,V55,"")</f>
        <v>4.4829806292688392</v>
      </c>
    </row>
    <row r="56" spans="7:26">
      <c r="G56" s="79"/>
      <c r="H56" s="79"/>
      <c r="I56" s="50"/>
      <c r="J56" s="50"/>
      <c r="K56" s="91"/>
      <c r="L56" s="50"/>
      <c r="M56" s="43"/>
      <c r="N56" s="1"/>
      <c r="R56" s="79">
        <v>1</v>
      </c>
      <c r="S56" s="79">
        <v>6</v>
      </c>
      <c r="T56" s="50" t="str">
        <f>+Tabla_Puntaje!B111</f>
        <v>Combustión</v>
      </c>
      <c r="U56" s="50">
        <f>Tabla_Puntaje!L128</f>
        <v>0</v>
      </c>
      <c r="V56" s="91">
        <f>Tabla_Puntaje!L127</f>
        <v>4.6106796156861156</v>
      </c>
      <c r="W56" s="50" t="str">
        <f t="shared" si="0"/>
        <v/>
      </c>
      <c r="X56" s="43">
        <f t="shared" si="1"/>
        <v>0</v>
      </c>
      <c r="Y56" s="1">
        <f t="shared" si="2"/>
        <v>0.5</v>
      </c>
      <c r="Z56" s="36">
        <f t="shared" si="3"/>
        <v>4.6106796156861156</v>
      </c>
    </row>
    <row r="57" spans="7:26">
      <c r="G57" s="79"/>
      <c r="H57" s="79"/>
      <c r="I57" s="50"/>
      <c r="J57" s="50"/>
      <c r="K57" s="91"/>
      <c r="L57" s="50"/>
      <c r="M57" s="43"/>
      <c r="N57" s="1"/>
      <c r="R57" s="79"/>
      <c r="S57" s="79">
        <v>7</v>
      </c>
      <c r="T57" s="50" t="str">
        <f>+Tabla_Puntaje!B130</f>
        <v>Inyección Vapor</v>
      </c>
      <c r="U57" s="50">
        <f>Tabla_Puntaje!L147</f>
        <v>0</v>
      </c>
      <c r="V57" s="91">
        <f>Tabla_Puntaje!L146</f>
        <v>4.8566495804302168</v>
      </c>
      <c r="W57" s="50" t="str">
        <f t="shared" si="0"/>
        <v/>
      </c>
      <c r="X57" s="43">
        <f t="shared" si="1"/>
        <v>0</v>
      </c>
      <c r="Y57" s="1">
        <f t="shared" si="2"/>
        <v>0.5</v>
      </c>
      <c r="Z57" s="36">
        <f t="shared" si="3"/>
        <v>4.8566495804302168</v>
      </c>
    </row>
    <row r="58" spans="7:26">
      <c r="G58" s="79"/>
      <c r="H58" s="79"/>
      <c r="I58" s="50"/>
      <c r="J58" s="50"/>
      <c r="K58" s="91"/>
      <c r="L58" s="50"/>
      <c r="M58" s="43"/>
      <c r="N58" s="1"/>
      <c r="R58" s="79">
        <v>1</v>
      </c>
      <c r="S58" s="79">
        <v>8</v>
      </c>
      <c r="T58" s="50" t="str">
        <f>+Tabla_Puntaje!B151</f>
        <v>Por Acción Microbiana (MEOR)</v>
      </c>
      <c r="U58" s="50">
        <f>Tabla_Puntaje!L169</f>
        <v>0</v>
      </c>
      <c r="V58" s="91">
        <f>Tabla_Puntaje!L168</f>
        <v>5.791988403119869</v>
      </c>
      <c r="W58" s="50" t="str">
        <f t="shared" si="0"/>
        <v/>
      </c>
      <c r="X58" s="43">
        <f t="shared" si="1"/>
        <v>0</v>
      </c>
      <c r="Y58" s="1">
        <f t="shared" si="2"/>
        <v>0.5</v>
      </c>
      <c r="Z58" s="36">
        <f t="shared" si="3"/>
        <v>5.791988403119869</v>
      </c>
    </row>
    <row r="59" spans="7:26">
      <c r="G59" s="79"/>
      <c r="H59" s="79"/>
      <c r="I59" s="50"/>
      <c r="J59" s="50"/>
      <c r="K59" s="91"/>
      <c r="L59" s="50"/>
      <c r="M59" s="43"/>
      <c r="N59" s="1"/>
      <c r="R59" s="79">
        <v>1</v>
      </c>
      <c r="S59" s="79">
        <v>3</v>
      </c>
      <c r="T59" s="50" t="str">
        <f>+Tabla_Puntaje!B50</f>
        <v>CO2</v>
      </c>
      <c r="U59" s="50">
        <f>Tabla_Puntaje!L67</f>
        <v>7.6709935897435901</v>
      </c>
      <c r="V59" s="91">
        <f>Tabla_Puntaje!L66</f>
        <v>7.6709935897435901</v>
      </c>
      <c r="W59" s="50">
        <f t="shared" si="0"/>
        <v>7.6709935897435901</v>
      </c>
      <c r="X59" s="43">
        <f t="shared" si="1"/>
        <v>7.6709935897435901</v>
      </c>
      <c r="Y59" s="1" t="str">
        <f t="shared" si="2"/>
        <v/>
      </c>
      <c r="Z59" s="36" t="str">
        <f t="shared" si="3"/>
        <v/>
      </c>
    </row>
    <row r="60" spans="7:26">
      <c r="G60" s="79"/>
      <c r="H60" s="79"/>
      <c r="I60" s="50"/>
      <c r="J60" s="50"/>
      <c r="K60" s="91"/>
      <c r="L60" s="50"/>
      <c r="M60" s="43"/>
      <c r="N60" s="1"/>
      <c r="R60" s="79">
        <v>1</v>
      </c>
      <c r="S60" s="79">
        <v>4</v>
      </c>
      <c r="T60" s="50" t="str">
        <f>+Tabla_Puntaje!B71</f>
        <v>Surfactante/Polímero/Alcalino</v>
      </c>
      <c r="U60" s="50">
        <f>Tabla_Puntaje!L88</f>
        <v>7.6996496890530324</v>
      </c>
      <c r="V60" s="91">
        <f>Tabla_Puntaje!L87</f>
        <v>7.6996496890530324</v>
      </c>
      <c r="W60" s="50">
        <f t="shared" si="0"/>
        <v>7.6996496890530324</v>
      </c>
      <c r="X60" s="43">
        <f t="shared" si="1"/>
        <v>7.6996496890530324</v>
      </c>
      <c r="Y60" s="1" t="str">
        <f t="shared" si="2"/>
        <v/>
      </c>
      <c r="Z60" s="36" t="str">
        <f t="shared" si="3"/>
        <v/>
      </c>
    </row>
    <row r="61" spans="7:26">
      <c r="G61" s="79"/>
      <c r="H61" s="79"/>
      <c r="I61" s="50"/>
      <c r="J61" s="50"/>
      <c r="K61" s="91"/>
      <c r="L61" s="50"/>
      <c r="M61" s="43"/>
      <c r="N61" s="1"/>
      <c r="R61" s="79">
        <v>1</v>
      </c>
      <c r="S61" s="79">
        <v>5</v>
      </c>
      <c r="T61" s="50" t="str">
        <f>+Tabla_Puntaje!B90</f>
        <v>Polímero</v>
      </c>
      <c r="U61" s="50">
        <f>Tabla_Puntaje!L107</f>
        <v>7.8318178222357497</v>
      </c>
      <c r="V61" s="91">
        <f>Tabla_Puntaje!L106</f>
        <v>7.8318178222357497</v>
      </c>
      <c r="W61" s="50">
        <f t="shared" si="0"/>
        <v>7.8318178222357497</v>
      </c>
      <c r="X61" s="43">
        <f t="shared" si="1"/>
        <v>7.8318178222357497</v>
      </c>
      <c r="Y61" s="1" t="str">
        <f t="shared" si="2"/>
        <v/>
      </c>
      <c r="Z61" s="36" t="str">
        <f t="shared" si="3"/>
        <v/>
      </c>
    </row>
    <row r="62" spans="7:26">
      <c r="G62" s="79"/>
      <c r="H62" s="79"/>
      <c r="I62" s="50"/>
      <c r="J62" s="50"/>
      <c r="K62" s="91"/>
      <c r="L62" s="50"/>
      <c r="M62" s="43"/>
      <c r="N62" s="1"/>
      <c r="R62" s="79">
        <v>1</v>
      </c>
      <c r="S62" s="79">
        <v>2</v>
      </c>
      <c r="T62" s="50" t="str">
        <f>+Tabla_Puntaje!B31</f>
        <v>HC (Gas enriquezido)</v>
      </c>
      <c r="U62" s="50">
        <f>Tabla_Puntaje!L48</f>
        <v>7.9886244098888719</v>
      </c>
      <c r="V62" s="91">
        <f>Tabla_Puntaje!L47</f>
        <v>7.9886244098888719</v>
      </c>
      <c r="W62" s="50">
        <f t="shared" si="0"/>
        <v>7.9886244098888719</v>
      </c>
      <c r="X62" s="43">
        <f t="shared" si="1"/>
        <v>7.9886244098888719</v>
      </c>
      <c r="Y62" s="1" t="str">
        <f t="shared" si="2"/>
        <v/>
      </c>
      <c r="Z62" s="36" t="str">
        <f t="shared" si="3"/>
        <v/>
      </c>
    </row>
    <row r="63" spans="7:26">
      <c r="G63" s="79"/>
      <c r="H63" s="79"/>
      <c r="I63" s="50"/>
      <c r="J63" s="50"/>
      <c r="K63" s="91"/>
      <c r="L63" s="50"/>
      <c r="M63" s="43"/>
      <c r="N63" s="1"/>
      <c r="R63" s="79">
        <v>1</v>
      </c>
      <c r="S63" s="79">
        <v>9</v>
      </c>
      <c r="T63" s="50" t="str">
        <f>+Tabla_Puntaje!B173</f>
        <v>Inyección de Agua de Baja Salinidad</v>
      </c>
      <c r="U63" s="50">
        <f>Tabla_Puntaje!L194</f>
        <v>8.5101190284810979</v>
      </c>
      <c r="V63" s="91">
        <f>Tabla_Puntaje!L193</f>
        <v>8.5101190284810979</v>
      </c>
      <c r="W63" s="50">
        <f t="shared" si="0"/>
        <v>8.5101190284810979</v>
      </c>
      <c r="X63" s="43">
        <f t="shared" si="1"/>
        <v>8.5101190284810979</v>
      </c>
      <c r="Y63" s="1" t="str">
        <f t="shared" si="2"/>
        <v/>
      </c>
      <c r="Z63" s="36" t="str">
        <f t="shared" si="3"/>
        <v/>
      </c>
    </row>
  </sheetData>
  <sortState xmlns:xlrd2="http://schemas.microsoft.com/office/spreadsheetml/2017/richdata2" ref="R55:Z63">
    <sortCondition ref="V6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Reg_EOR_Parámetros</vt:lpstr>
      <vt:lpstr>Tabla_Puntaje</vt:lpstr>
      <vt:lpstr>RESUMEN</vt:lpstr>
      <vt:lpstr>Ui</vt:lpstr>
    </vt:vector>
  </TitlesOfParts>
  <Company>GC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Wladimir Chávez</dc:creator>
  <cp:lastModifiedBy>Wladimir Chávez</cp:lastModifiedBy>
  <cp:lastPrinted>2011-08-01T19:05:44Z</cp:lastPrinted>
  <dcterms:created xsi:type="dcterms:W3CDTF">2011-07-28T13:45:40Z</dcterms:created>
  <dcterms:modified xsi:type="dcterms:W3CDTF">2025-02-24T15:20:12Z</dcterms:modified>
</cp:coreProperties>
</file>